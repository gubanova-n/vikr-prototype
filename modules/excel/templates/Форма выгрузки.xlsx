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99de2549a45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труктура" sheetId="1" r:id="R312e423e57434da7"/>
    <x:sheet xmlns:r="http://schemas.openxmlformats.org/officeDocument/2006/relationships" name="Настройки" sheetId="2" r:id="Rb20df739e0c0493a"/>
  </x:sheets>
  <x:definedNames>
    <x:definedName name="Z_41C47B7D_03F2_4D4D_A8CB_C4E3EB78792A_.wvu.FilterData" localSheetId="0" hidden="1">Структура!$A$4:$AD$73</x:definedName>
    <x:definedName name="Z_58EC1B86_B2E0_4421_BACF_CCF5488E0186_.wvu.FilterData" localSheetId="0" hidden="1">Структура!$A$4:$AD$74</x:definedName>
    <x:definedName name="Z_7ED87004_6B99_4509_A6DF_0379A6A60190_.wvu.FilterData" localSheetId="0" hidden="1">Структура!$A$4:$AD$74</x:definedName>
    <x:definedName name="Z_87D7E8A1_410E_4FCA_8BCD_E98D93E97F6E_.wvu.FilterData" localSheetId="0" hidden="1">Структура!$A$4:$AD$74</x:definedName>
    <x:definedName name="Z_C476961F_7EAC_41D0_A825_92B07891A807_.wvu.FilterData" localSheetId="0" hidden="1">Структура!$A$4:$AD$74</x:definedName>
    <x:definedName name="Z_E27E1EEE_F79B_48DC_8E6E_2616A84DC824_.wvu.FilterData" localSheetId="0" hidden="1">Структура!$A$4:$AD$74</x:definedName>
  </x:definedNames>
</x:workbook>
</file>

<file path=xl/sharedStrings.xml><?xml version="1.0" encoding="utf-8"?>
<x:sst xmlns:x="http://schemas.openxmlformats.org/spreadsheetml/2006/main">
  <x:si>
    <x:t xml:space="preserve">Уровень / вид</x:t>
  </x:si>
  <x:si>
    <x:t xml:space="preserve">Код</x:t>
  </x:si>
  <x:si>
    <x:t xml:space="preserve">Наименование</x:t>
  </x:si>
  <x:si>
    <x:t xml:space="preserve">Объём / количество</x:t>
  </x:si>
  <x:si>
    <x:t xml:space="preserve">Ед. изм.</x:t>
  </x:si>
  <x:si>
    <x:t xml:space="preserve">Норма ресурса на ед. позиции</x:t>
  </x:si>
  <x:si>
    <x:t xml:space="preserve">Коэф. ресурса</x:t>
  </x:si>
  <x:si>
    <x:t xml:space="preserve">Рабочие, чел.-ч</x:t>
  </x:si>
  <x:si>
    <x:t xml:space="preserve">Машинисты, чел.-ч</x:t>
  </x:si>
  <x:si>
    <x:t xml:space="preserve">Машины, маш.-ч</x:t>
  </x:si>
  <x:si>
    <x:t xml:space="preserve">Цена, руб./ед.</x:t>
  </x:si>
  <x:si>
    <x:t xml:space="preserve">Стоимость, руб.</x:t>
  </x:si>
  <x:si>
    <x:t xml:space="preserve">ФОТ, руб.</x:t>
  </x:si>
  <x:si>
    <x:t xml:space="preserve">НР</x:t>
  </x:si>
  <x:si>
    <x:t xml:space="preserve">НР, руб.</x:t>
  </x:si>
  <x:si>
    <x:t xml:space="preserve">СП</x:t>
  </x:si>
  <x:si>
    <x:t xml:space="preserve">СП, руб.</x:t>
  </x:si>
  <x:si>
    <x:t xml:space="preserve">Всего с НР и СП, руб.</x:t>
  </x:si>
  <x:si>
    <x:t xml:space="preserve">Индекс стоимости</x:t>
  </x:si>
  <x:si>
    <x:t xml:space="preserve">Цена с индексом, руб./ед.</x:t>
  </x:si>
  <x:si>
    <x:t xml:space="preserve">Стоимость с индексом, руб.</x:t>
  </x:si>
  <x:si>
    <x:t xml:space="preserve">ФОТ с индексом, руб.</x:t>
  </x:si>
  <x:si>
    <x:t xml:space="preserve">НР с индексом, руб.</x:t>
  </x:si>
  <x:si>
    <x:t xml:space="preserve">СП с индексом, руб.</x:t>
  </x:si>
  <x:si>
    <x:t xml:space="preserve">Всего с индексом, руб.</x:t>
  </x:si>
  <x:si>
    <x:t xml:space="preserve">Объект</x:t>
  </x:si>
  <x:si>
    <x:t xml:space="preserve">Тамбей · МГ 82,5 км (фрагмент)</x:t>
  </x:si>
  <x:si>
    <x:t xml:space="preserve">КР</x:t>
  </x:si>
  <x:si>
    <x:t xml:space="preserve">ВЗиС</x:t>
  </x:si>
  <x:si>
    <x:t xml:space="preserve">Подготовительные и сопутствующие работы</x:t>
  </x:si>
  <x:si>
    <x:t xml:space="preserve">Марка</x:t>
  </x:si>
  <x:si>
    <x:t xml:space="preserve">Зимник</x:t>
  </x:si>
  <x:si>
    <x:t xml:space="preserve">ВИКР</x:t>
  </x:si>
  <x:si>
    <x:t xml:space="preserve">30644</x:t>
  </x:si>
  <x:si>
    <x:t xml:space="preserve">Устройство автозимника -15 км - 3 категория, 9 м ширина</x:t>
  </x:si>
  <x:si>
    <x:t xml:space="preserve">км</x:t>
  </x:si>
  <x:si>
    <x:t xml:space="preserve">ГЭСН</x:t>
  </x:si>
  <x:si>
    <x:t xml:space="preserve">ГЭСН01-02-087-03</x:t>
  </x:si>
  <x:si>
    <x:t xml:space="preserve">Уборка снега со строительных площадок и дорог: бульдозерами с перемещениями на расстояние до 20 м</x:t>
  </x:si>
  <x:si>
    <x:t xml:space="preserve">1000 м3</x:t>
  </x:si>
  <x:si>
    <x:t xml:space="preserve">Машины</x:t>
  </x:si>
  <x:si>
    <x:t xml:space="preserve">91.01.01-035</x:t>
  </x:si>
  <x:si>
    <x:t xml:space="preserve">Бульдозеры, мощность 79 кВт (108 л.с.)</x:t>
  </x:si>
  <x:si>
    <x:t xml:space="preserve">маш.-ч</x:t>
  </x:si>
  <x:si>
    <x:t xml:space="preserve">Машинисты</x:t>
  </x:si>
  <x:si>
    <x:t xml:space="preserve">4-100-060</x:t>
  </x:si>
  <x:si>
    <x:t xml:space="preserve">ОТм(Зтм) Средний разряд машинистов 6</x:t>
  </x:si>
  <x:si>
    <x:t xml:space="preserve">чел.-ч</x:t>
  </x:si>
  <x:si>
    <x:t xml:space="preserve">ГЭСН01-02-001-01</x:t>
  </x:si>
  <x:si>
    <x:t xml:space="preserve">Уплотнение грунта прицепными катками на пневмоколесном ходу 25 т на первый проход по одному следу при толщине слоя: 25 см</x:t>
  </x:si>
  <x:si>
    <x:t xml:space="preserve">91.08.03-007</x:t>
  </x:si>
  <x:si>
    <x:t xml:space="preserve">Катки прицепные пневмоколесные статические, масса 25 т</x:t>
  </x:si>
  <x:si>
    <x:t xml:space="preserve">91.15.02-024</x:t>
  </x:si>
  <x:si>
    <x:t xml:space="preserve">Тракторы на гусеничном ходу, мощность 79 кВт (108 л.с.)</x:t>
  </x:si>
  <x:si>
    <x:t xml:space="preserve">4-100-050</x:t>
  </x:si>
  <x:si>
    <x:t xml:space="preserve">ОТм(Зтм) Средний разряд машинистов 5</x:t>
  </x:si>
  <x:si>
    <x:t xml:space="preserve">ГЭСН01-02-001-07</x:t>
  </x:si>
  <x:si>
    <x:t xml:space="preserve">На каждый последующий проход по одному следу добавлять: к норме 01-02-001-01</x:t>
  </x:si>
  <x:si>
    <x:t xml:space="preserve">ГЭСН01-02-027-01</x:t>
  </x:si>
  <x:si>
    <x:t xml:space="preserve">Планировка площадей: механизированным способом, группа грунтов 1</x:t>
  </x:si>
  <x:si>
    <x:t xml:space="preserve">1000 м2</x:t>
  </x:si>
  <x:si>
    <x:t xml:space="preserve">91.01.02-004</x:t>
  </x:si>
  <x:si>
    <x:t xml:space="preserve">Автогрейдеры среднего типа, мощность 99 кВт (135 л.с.)</x:t>
  </x:si>
  <x:si>
    <x:t xml:space="preserve">ГЭСН01-02-006-01</x:t>
  </x:si>
  <x:si>
    <x:t xml:space="preserve">Полив водой уплотняемого грунта насыпей</x:t>
  </x:si>
  <x:si>
    <x:t xml:space="preserve">Материалы</x:t>
  </x:si>
  <x:si>
    <x:t xml:space="preserve">01.7.03.01-0001</x:t>
  </x:si>
  <x:si>
    <x:t xml:space="preserve">Вода</x:t>
  </x:si>
  <x:si>
    <x:t xml:space="preserve">м3</x:t>
  </x:si>
  <x:si>
    <x:t xml:space="preserve">91.13.01-038</x:t>
  </x:si>
  <x:si>
    <x:t xml:space="preserve">Машины поливомоечные, вместимость цистерны 6 м3</x:t>
  </x:si>
  <x:si>
    <x:t xml:space="preserve">Рабочие</x:t>
  </x:si>
  <x:si>
    <x:t xml:space="preserve">1-100-10</x:t>
  </x:si>
  <x:si>
    <x:t xml:space="preserve">Средний разряд работы 1,0</x:t>
  </x:si>
  <x:si>
    <x:t xml:space="preserve">4-100-040</x:t>
  </x:si>
  <x:si>
    <x:t xml:space="preserve">ОТм(Зтм) Средний разряд машинистов 4</x:t>
  </x:si>
  <x:si>
    <x:t xml:space="preserve">Тариф</x:t>
  </x:si>
  <x:si>
    <x:t xml:space="preserve">РПГ 2024 (тариф из сметы Заказчика)</x:t>
  </x:si>
  <x:si>
    <x:t xml:space="preserve">Подвоз воды автоцистернами емк.10 (до 3 км) [ресурсы отсутствуют]</x:t>
  </x:si>
  <x:si>
    <x:t xml:space="preserve">Инженерная подготовка</x:t>
  </x:si>
  <x:si>
    <x:t xml:space="preserve">30023</x:t>
  </x:si>
  <x:si>
    <x:t xml:space="preserve">Разработка с погрузкой грунта в карьере</x:t>
  </x:si>
  <x:si>
    <x:t xml:space="preserve">ГЭСН01-01-012-07</x:t>
  </x:si>
  <x:si>
    <x:t xml:space="preserve">Разработка грунта экскаваторами с погрузкой на автомобили-самосвалы, вместимость ковша 1,6 (1,25-1,6) м3, группа грунтов: 1</x:t>
  </x:si>
  <x:si>
    <x:t xml:space="preserve">02.2.05.04-2090</x:t>
  </x:si>
  <x:si>
    <x:t xml:space="preserve">Щебень из плотных горных пород для строительных работ М 800, фракция 20-40 мм</x:t>
  </x:si>
  <x:si>
    <x:t xml:space="preserve">91.01.05-088</x:t>
  </x:si>
  <x:si>
    <x:t xml:space="preserve">Экскаваторы одноковшовые дизельные на гусеничном ходу, объем ковша 1,6 м3</x:t>
  </x:si>
  <x:si>
    <x:t xml:space="preserve">1-100-20</x:t>
  </x:si>
  <x:si>
    <x:t xml:space="preserve">Средний разряд работы 2,0</x:t>
  </x:si>
  <x:si>
    <x:t xml:space="preserve">4-100-070</x:t>
  </x:si>
  <x:si>
    <x:t xml:space="preserve">ОТм(Зтм) Средний разряд машинистов 7</x:t>
  </x:si>
  <x:si>
    <x:t xml:space="preserve">ГЭСН01-01-012-13</x:t>
  </x:si>
  <x:si>
    <x:t xml:space="preserve">Разработка грунта экскаваторами с погрузкой на автомобили-самосвалы, вместимость ковша 1,25 (1,4-1,5) м3, группа грунтов: 1</x:t>
  </x:si>
  <x:si>
    <x:t xml:space="preserve">91.01.05-089</x:t>
  </x:si>
  <x:si>
    <x:t xml:space="preserve">Экскаваторы одноковшовые дизельные на гусеничном ходу, объем ковша 1,25 м3</x:t>
  </x:si>
  <x:si>
    <x:t xml:space="preserve">ГЭСН01-01-021-01</x:t>
  </x:si>
  <x:si>
    <x:t xml:space="preserve">Разработка грунта в котлованах объемом от 3000 до 7000 м3 с погрузкой на автомобили-самосвалы экскаватором с ковшом вместимостью 1,0 м3, группа грунтов: 1</x:t>
  </x:si>
  <x:si>
    <x:t xml:space="preserve">91.01.05-087</x:t>
  </x:si>
  <x:si>
    <x:t xml:space="preserve">Экскаваторы одноковшовые дизельные на гусеничном ходу, объем ковша 1,0 м3</x:t>
  </x:si>
  <x:si>
    <x:t xml:space="preserve">БРЗ</x:t>
  </x:si>
  <x:si>
    <x:t xml:space="preserve">Биологическая рекультивация</x:t>
  </x:si>
  <x:si>
    <x:t xml:space="preserve">РНЗ</x:t>
  </x:si>
  <x:si>
    <x:t xml:space="preserve">10001</x:t>
  </x:si>
  <x:si>
    <x:t xml:space="preserve">га</x:t>
  </x:si>
  <x:si>
    <x:t xml:space="preserve">ГЭСН47-02-050-01</x:t>
  </x:si>
  <x:si>
    <x:t xml:space="preserve">Внесение с механизированной загрузкой и разбрасыванием удобрений: минеральных</x:t>
  </x:si>
  <x:si>
    <x:t xml:space="preserve">91.01.05-084</x:t>
  </x:si>
  <x:si>
    <x:t xml:space="preserve">Экскаваторы одноковшовые дизельные на гусеничном ходу, объем ковша 0,4 м3</x:t>
  </x:si>
  <x:si>
    <x:t xml:space="preserve">91.12.07-022</x:t>
  </x:si>
  <x:si>
    <x:t xml:space="preserve">Сеялки туковые (без трактора)</x:t>
  </x:si>
  <x:si>
    <x:t xml:space="preserve">91.15.03-014</x:t>
  </x:si>
  <x:si>
    <x:t xml:space="preserve">Тракторы на пневмоколесном ходу, мощность 59 кВт (80 л.с.)</x:t>
  </x:si>
  <x:si>
    <x:t xml:space="preserve">ГЭСН47-02-012-07</x:t>
  </x:si>
  <x:si>
    <x:t xml:space="preserve">Культивация почвы: с одновременным боронованием</x:t>
  </x:si>
  <x:si>
    <x:t xml:space="preserve">91.12.08-091</x:t>
  </x:si>
  <x:si>
    <x:t xml:space="preserve">Плуги навесные, глубина пахоты 0,3 м</x:t>
  </x:si>
  <x:si>
    <x:t xml:space="preserve">ГЭСН47-02-093-02</x:t>
  </x:si>
  <x:si>
    <x:t xml:space="preserve">Посев: многолетних трав</x:t>
  </x:si>
  <x:si>
    <x:t xml:space="preserve">91.12.07-021</x:t>
  </x:si>
  <x:si>
    <x:t xml:space="preserve">Сеялки прицепные</x:t>
  </x:si>
  <x:si>
    <x:t xml:space="preserve">ГЭСН47-02-093-03</x:t>
  </x:si>
  <x:si>
    <x:t xml:space="preserve">Прикатывание посевов</x:t>
  </x:si>
  <x:si>
    <x:t xml:space="preserve">91.12.08-051</x:t>
  </x:si>
  <x:si>
    <x:t xml:space="preserve">Катки прицепные кольчатые 2 т</x:t>
  </x:si>
  <x:si>
    <x:t xml:space="preserve">91.15.03-013</x:t>
  </x:si>
  <x:si>
    <x:t xml:space="preserve">Тракторы на пневмоколесном ходу, мощность 40 кВт (55 л.с.)</x:t>
  </x:si>
  <x:si>
    <x:t xml:space="preserve">4-100-030</x:t>
  </x:si>
  <x:si>
    <x:t xml:space="preserve">ОТм(Зтм) Средний разряд машинистов 3</x:t>
  </x:si>
  <x:si>
    <x:t xml:space="preserve">Итого по имеющимся ресурсам</x:t>
  </x:si>
</x:sst>
</file>

<file path=xl/styles.xml><?xml version="1.0" encoding="utf-8"?>
<x:styleSheet xmlns:x="http://schemas.openxmlformats.org/spreadsheetml/2006/main">
  <x:numFmts count="4">
    <x:numFmt numFmtId="164" formatCode="#,##0.0000"/>
    <x:numFmt numFmtId="165" formatCode="0.0&quot;%&quot;"/>
    <x:numFmt numFmtId="166" formatCode="0.0000"/>
    <x:numFmt numFmtId="200" formatCode="#,##0.00"/>
  </x:numFmts>
  <x:fonts count="10">
    <x:font>
      <x:sz val="11"/>
      <x:name val="Carlito"/>
    </x:font>
    <x:font>
      <x:sz val="10"/>
      <x:color rgb="FF243746"/>
      <x:name val="Arial"/>
    </x:font>
    <x:font>
      <x:b/>
      <x:sz val="10"/>
      <x:color rgb="FFFFFFFF"/>
      <x:name val="Arial"/>
    </x:font>
    <x:font>
      <x:b/>
      <x:sz val="10"/>
      <x:color rgb="FF243746"/>
      <x:name val="Arial"/>
    </x:font>
    <x:font>
      <x:b/>
      <x:sz val="10"/>
      <x:color rgb="FF184C66"/>
      <x:name val="Arial"/>
    </x:font>
    <x:font>
      <x:sz val="11"/>
      <x:name val="Carlito"/>
    </x:font>
    <x:font>
      <x:sz val="10"/>
      <x:color rgb="FF184C66"/>
      <x:name val="Arial"/>
    </x:font>
    <x:font>
      <x:sz val="10"/>
      <x:color rgb="FF60788A"/>
      <x:name val="Arial"/>
    </x:font>
    <x:font>
      <x:b/>
      <x:sz val="14"/>
      <x:color rgb="FF184C66"/>
      <x:name val="Arial"/>
    </x:font>
    <x:font>
      <x:sz val="11"/>
      <x:color rgb="FF184C66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84C66"/>
      </x:patternFill>
    </x:fill>
    <x:fill>
      <x:patternFill patternType="solid">
        <x:fgColor rgb="FFD4E6EF"/>
      </x:patternFill>
    </x:fill>
    <x:fill>
      <x:patternFill patternType="solid">
        <x:fgColor rgb="FFE4EEF3"/>
      </x:patternFill>
    </x:fill>
    <x:fill>
      <x:patternFill patternType="solid">
        <x:fgColor rgb="FFF0F5F8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  <x:fill>
      <x:patternFill patternType="solid">
        <x:fgColor rgb="FFFFF4E6"/>
      </x:patternFill>
    </x:fill>
    <x:fill>
      <x:patternFill patternType="solid">
        <x:fgColor rgb="FFE9F2F6"/>
      </x:patternFill>
    </x:fill>
    <x:fill>
      <x:patternFill patternType="solid">
        <x:fgColor rgb="FF184C66"/>
      </x:patternFill>
    </x:fill>
    <x:fill>
      <x:patternFill patternType="solid">
        <x:fgColor rgb="FFFFF2CC"/>
      </x:patternFill>
    </x:fill>
    <x:fill>
      <x:patternFill patternType="solid">
        <x:fgColor rgb="FF184C66"/>
      </x:patternFill>
    </x:fill>
    <x:fill>
      <x:patternFill patternType="solid">
        <x:fgColor rgb="FFFFF2CC"/>
      </x:patternFill>
    </x:fill>
    <x:fill>
      <x:patternFill patternType="solid">
        <x:fgColor rgb="FFE7F1F6"/>
      </x:patternFill>
    </x:fill>
  </x:fills>
  <x:borders count="13">
    <x:border>
      <x:left/>
      <x:right/>
      <x:top/>
      <x:bottom/>
      <x:diagonal/>
    </x:border>
    <x:border>
      <x:left/>
      <x:right/>
      <x:top/>
      <x:bottom style="thin">
        <x:color rgb="FF184C66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D6E4EB"/>
      </x:right>
      <x:top/>
      <x:bottom/>
      <x:diagonal/>
    </x:border>
    <x:border>
      <x:left/>
      <x:right/>
      <x:top style="thin">
        <x:color rgb="FFCEDDE5"/>
      </x:top>
      <x:bottom/>
      <x:diagonal/>
    </x:border>
    <x:border>
      <x:left/>
      <x:right style="thin">
        <x:color rgb="FFD6E4EB"/>
      </x:right>
      <x:top style="thin">
        <x:color rgb="FFCEDDE5"/>
      </x:top>
      <x:bottom/>
      <x:diagonal/>
    </x:border>
    <x:border>
      <x:left/>
      <x:right/>
      <x:top style="thin">
        <x:color rgb="FFB6CFDB"/>
      </x:top>
      <x:bottom/>
      <x:diagonal/>
    </x:border>
    <x:border>
      <x:left/>
      <x:right style="thin">
        <x:color rgb="FFFFFFFF"/>
      </x:right>
      <x:top/>
      <x:bottom style="thin">
        <x:color rgb="FFBCCFD8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BCCFD8"/>
      </x:bottom>
      <x:diagonal/>
    </x:border>
    <x:border>
      <x:left style="thin">
        <x:color rgb="FFFFFFFF"/>
      </x:left>
      <x:right/>
      <x:top/>
      <x:bottom style="thin">
        <x:color rgb="FFBCCFD8"/>
      </x:bottom>
      <x:diagonal/>
    </x:border>
    <x:border>
      <x:left/>
      <x:right/>
      <x:top/>
      <x:bottom style="thin">
        <x:color rgb="FFBCCFD8"/>
      </x:bottom>
      <x:diagonal/>
    </x:border>
  </x:borders>
  <x:cellStyleXfs count="2">
    <x:xf numFmtId="0" fontId="0" fillId="0" borderId="0"/>
    <x:xf numFmtId="0" fontId="5" fillId="0" borderId="0"/>
  </x:cellStyleXfs>
  <x:cellXfs count="98">
    <x:xf numFmtId="0" fontId="0" fillId="0" borderId="0" xfId="0"/>
    <x:xf numFmtId="0" fontId="1" fillId="0" borderId="0" xfId="1" applyFont="1" applyAlignment="1">
      <x:alignment vertical="center"/>
    </x:xf>
    <x:xf numFmtId="0" fontId="2" fillId="2" borderId="2" xfId="1" applyFont="1" applyFill="1" applyBorder="1" applyAlignment="1">
      <x:alignment horizontal="center" vertical="center" wrapText="1"/>
    </x:xf>
    <x:xf numFmtId="0" fontId="2" fillId="2" borderId="3" xfId="1" applyFont="1" applyFill="1" applyBorder="1" applyAlignment="1">
      <x:alignment horizontal="center" vertical="center" wrapText="1"/>
    </x:xf>
    <x:xf numFmtId="0" fontId="2" fillId="2" borderId="4" xfId="1" applyFont="1" applyFill="1" applyBorder="1" applyAlignment="1">
      <x:alignment horizontal="center" vertical="center" wrapText="1"/>
    </x:xf>
    <x:xf numFmtId="0" fontId="1" fillId="0" borderId="0" xfId="1" applyFont="1" applyAlignment="1">
      <x:alignment vertical="center" wrapText="1"/>
    </x:xf>
    <x:xf numFmtId="164" fontId="1" fillId="0" borderId="5" xfId="1" applyNumberFormat="1" applyFont="1" applyBorder="1" applyAlignment="1">
      <x:alignment horizontal="right" vertical="center" wrapText="1"/>
    </x:xf>
    <x:xf numFmtId="164" fontId="1" fillId="0" borderId="0" xfId="1" applyNumberFormat="1" applyFont="1" applyAlignment="1">
      <x:alignment horizontal="right" vertical="center" wrapText="1"/>
    </x:xf>
    <x:xf numFmtId="2" fontId="1" fillId="0" borderId="0" xfId="1" applyNumberFormat="1" applyFont="1" applyAlignment="1">
      <x:alignment horizontal="right" vertical="center" wrapText="1"/>
    </x:xf>
    <x:xf numFmtId="0" fontId="2" fillId="2" borderId="6" xfId="1" applyFont="1" applyFill="1" applyBorder="1" applyAlignment="1">
      <x:alignment vertical="center" wrapText="1"/>
    </x:xf>
    <x:xf numFmtId="164" fontId="2" fillId="2" borderId="7" xfId="1" applyNumberFormat="1" applyFont="1" applyFill="1" applyBorder="1" applyAlignment="1">
      <x:alignment horizontal="right" vertical="center" wrapText="1"/>
    </x:xf>
    <x:xf numFmtId="164" fontId="2" fillId="2" borderId="6" xfId="1" applyNumberFormat="1" applyFont="1" applyFill="1" applyBorder="1" applyAlignment="1">
      <x:alignment horizontal="right" vertical="center" wrapText="1"/>
    </x:xf>
    <x:xf numFmtId="2" fontId="2" fillId="2" borderId="6" xfId="1" applyNumberFormat="1" applyFont="1" applyFill="1" applyBorder="1" applyAlignment="1">
      <x:alignment horizontal="right" vertical="center" wrapText="1"/>
    </x:xf>
    <x:xf numFmtId="0" fontId="3" fillId="3" borderId="6" xfId="1" applyFont="1" applyFill="1" applyBorder="1" applyAlignment="1">
      <x:alignment vertical="center" wrapText="1"/>
    </x:xf>
    <x:xf numFmtId="164" fontId="3" fillId="3" borderId="7" xfId="1" applyNumberFormat="1" applyFont="1" applyFill="1" applyBorder="1" applyAlignment="1">
      <x:alignment horizontal="right" vertical="center" wrapText="1"/>
    </x:xf>
    <x:xf numFmtId="164" fontId="3" fillId="3" borderId="6" xfId="1" applyNumberFormat="1" applyFont="1" applyFill="1" applyBorder="1" applyAlignment="1">
      <x:alignment horizontal="right" vertical="center" wrapText="1"/>
    </x:xf>
    <x:xf numFmtId="2" fontId="3" fillId="3" borderId="6" xfId="1" applyNumberFormat="1" applyFont="1" applyFill="1" applyBorder="1" applyAlignment="1">
      <x:alignment horizontal="right" vertical="center" wrapText="1"/>
    </x:xf>
    <x:xf numFmtId="0" fontId="3" fillId="4" borderId="6" xfId="1" applyFont="1" applyFill="1" applyBorder="1" applyAlignment="1">
      <x:alignment vertical="center" wrapText="1"/>
    </x:xf>
    <x:xf numFmtId="164" fontId="3" fillId="4" borderId="7" xfId="1" applyNumberFormat="1" applyFont="1" applyFill="1" applyBorder="1" applyAlignment="1">
      <x:alignment horizontal="right" vertical="center" wrapText="1"/>
    </x:xf>
    <x:xf numFmtId="164" fontId="3" fillId="4" borderId="6" xfId="1" applyNumberFormat="1" applyFont="1" applyFill="1" applyBorder="1" applyAlignment="1">
      <x:alignment horizontal="right" vertical="center" wrapText="1"/>
    </x:xf>
    <x:xf numFmtId="2" fontId="3" fillId="4" borderId="6" xfId="1" applyNumberFormat="1" applyFont="1" applyFill="1" applyBorder="1" applyAlignment="1">
      <x:alignment horizontal="right" vertical="center" wrapText="1"/>
    </x:xf>
    <x:xf numFmtId="0" fontId="3" fillId="5" borderId="6" xfId="1" applyFont="1" applyFill="1" applyBorder="1" applyAlignment="1">
      <x:alignment vertical="center" wrapText="1"/>
    </x:xf>
    <x:xf numFmtId="164" fontId="3" fillId="5" borderId="7" xfId="1" applyNumberFormat="1" applyFont="1" applyFill="1" applyBorder="1" applyAlignment="1">
      <x:alignment horizontal="right" vertical="center" wrapText="1"/>
    </x:xf>
    <x:xf numFmtId="164" fontId="3" fillId="5" borderId="6" xfId="1" applyNumberFormat="1" applyFont="1" applyFill="1" applyBorder="1" applyAlignment="1">
      <x:alignment horizontal="right" vertical="center" wrapText="1"/>
    </x:xf>
    <x:xf numFmtId="2" fontId="3" fillId="5" borderId="6" xfId="1" applyNumberFormat="1" applyFont="1" applyFill="1" applyBorder="1" applyAlignment="1">
      <x:alignment horizontal="right" vertical="center" wrapText="1"/>
    </x:xf>
    <x:xf numFmtId="0" fontId="3" fillId="6" borderId="6" xfId="1" applyFont="1" applyFill="1" applyBorder="1" applyAlignment="1">
      <x:alignment vertical="center" wrapText="1"/>
    </x:xf>
    <x:xf numFmtId="164" fontId="3" fillId="6" borderId="7" xfId="1" applyNumberFormat="1" applyFont="1" applyFill="1" applyBorder="1" applyAlignment="1">
      <x:alignment horizontal="right" vertical="center" wrapText="1"/>
    </x:xf>
    <x:xf numFmtId="164" fontId="3" fillId="6" borderId="6" xfId="1" applyNumberFormat="1" applyFont="1" applyFill="1" applyBorder="1" applyAlignment="1">
      <x:alignment horizontal="right" vertical="center" wrapText="1"/>
    </x:xf>
    <x:xf numFmtId="2" fontId="3" fillId="6" borderId="6" xfId="1" applyNumberFormat="1" applyFont="1" applyFill="1" applyBorder="1" applyAlignment="1">
      <x:alignment horizontal="right" vertical="center" wrapText="1"/>
    </x:xf>
    <x:xf numFmtId="0" fontId="1" fillId="7" borderId="0" xfId="1" applyFont="1" applyFill="1" applyAlignment="1">
      <x:alignment vertical="center" wrapText="1"/>
    </x:xf>
    <x:xf numFmtId="164" fontId="1" fillId="7" borderId="5" xfId="1" applyNumberFormat="1" applyFont="1" applyFill="1" applyBorder="1" applyAlignment="1">
      <x:alignment horizontal="right" vertical="center" wrapText="1"/>
    </x:xf>
    <x:xf numFmtId="164" fontId="1" fillId="7" borderId="0" xfId="1" applyNumberFormat="1" applyFont="1" applyFill="1" applyAlignment="1">
      <x:alignment horizontal="right" vertical="center" wrapText="1"/>
    </x:xf>
    <x:xf numFmtId="2" fontId="1" fillId="7" borderId="0" xfId="1" applyNumberFormat="1" applyFont="1" applyFill="1" applyAlignment="1">
      <x:alignment horizontal="right" vertical="center" wrapText="1"/>
    </x:xf>
    <x:xf numFmtId="0" fontId="3" fillId="8" borderId="6" xfId="1" applyFont="1" applyFill="1" applyBorder="1" applyAlignment="1">
      <x:alignment vertical="center" wrapText="1"/>
    </x:xf>
    <x:xf numFmtId="164" fontId="3" fillId="8" borderId="7" xfId="1" applyNumberFormat="1" applyFont="1" applyFill="1" applyBorder="1" applyAlignment="1">
      <x:alignment horizontal="right" vertical="center" wrapText="1"/>
    </x:xf>
    <x:xf numFmtId="164" fontId="3" fillId="8" borderId="6" xfId="1" applyNumberFormat="1" applyFont="1" applyFill="1" applyBorder="1" applyAlignment="1">
      <x:alignment horizontal="right" vertical="center" wrapText="1"/>
    </x:xf>
    <x:xf numFmtId="2" fontId="3" fillId="8" borderId="6" xfId="1" applyNumberFormat="1" applyFont="1" applyFill="1" applyBorder="1" applyAlignment="1">
      <x:alignment horizontal="right" vertical="center" wrapText="1"/>
    </x:xf>
    <x:xf numFmtId="0" fontId="4" fillId="9" borderId="8" xfId="1" applyFont="1" applyFill="1" applyBorder="1" applyAlignment="1">
      <x:alignment vertical="center"/>
    </x:xf>
    <x:xf numFmtId="164" fontId="4" fillId="9" borderId="8" xfId="1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/>
    </x:xf>
    <x:xf numFmtId="0" fontId="2" fillId="10" borderId="2" xfId="0" applyNumberFormat="1" applyFont="1" applyFill="1" applyBorder="1" applyAlignment="1">
      <x:alignment horizontal="center" vertical="center" wrapText="1"/>
    </x:xf>
    <x:xf numFmtId="0" fontId="2" fillId="10" borderId="3" xfId="0" applyNumberFormat="1" applyFont="1" applyFill="1" applyBorder="1" applyAlignment="1">
      <x:alignment horizontal="center" vertical="center" wrapText="1"/>
    </x:xf>
    <x:xf numFmtId="0" fontId="2" fillId="10" borderId="4" xfId="0" applyNumberFormat="1" applyFont="1" applyFill="1" applyBorder="1" applyAlignment="1">
      <x:alignment horizontal="center" vertical="center" wrapText="1"/>
    </x:xf>
    <x:xf numFmtId="165" fontId="1" fillId="0" borderId="0" xfId="0" applyNumberFormat="1" applyFont="1" applyFill="1" applyBorder="1" applyAlignment="1">
      <x:alignment vertical="center"/>
    </x:xf>
    <x:xf numFmtId="4" fontId="1" fillId="0" borderId="0" xfId="0" applyNumberFormat="1" applyFont="1" applyFill="1" applyBorder="1" applyAlignment="1">
      <x:alignment vertical="center"/>
    </x:xf>
    <x:xf numFmtId="166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4" fontId="3" fillId="11" borderId="0" xfId="0" applyNumberFormat="1" applyFont="1" applyFill="1" applyBorder="1" applyAlignment="1">
      <x:alignment horizontal="right" vertical="center" wrapText="1"/>
    </x:xf>
    <x:xf numFmtId="166" fontId="3" fillId="11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12" borderId="0" xfId="0" applyNumberFormat="1" applyFont="1" applyFill="1" applyBorder="1" applyAlignment="1">
      <x:alignment vertical="center"/>
    </x:xf>
    <x:xf numFmtId="0" fontId="2" fillId="12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164" fontId="1" fillId="1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12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14" borderId="2" xfId="0" applyNumberFormat="1" applyFont="1" applyFill="1" applyBorder="1" applyAlignment="1">
      <x:alignment horizontal="center" vertical="center" wrapText="1"/>
    </x:xf>
    <x:xf numFmtId="0" fontId="2" fillId="14" borderId="3" xfId="0" applyNumberFormat="1" applyFont="1" applyFill="1" applyBorder="1" applyAlignment="1">
      <x:alignment horizontal="center" vertical="center" wrapText="1"/>
    </x:xf>
    <x:xf numFmtId="0" fontId="2" fillId="14" borderId="4" xfId="0" applyNumberFormat="1" applyFont="1" applyFill="1" applyBorder="1" applyAlignment="1">
      <x:alignment horizontal="center" vertical="center" wrapText="1"/>
    </x:xf>
    <x:xf numFmtId="0" fontId="4" fillId="14" borderId="2" xfId="0" applyNumberFormat="1" applyFont="1" applyFill="1" applyBorder="1" applyAlignment="1">
      <x:alignment horizontal="center" vertical="center" wrapText="1"/>
    </x:xf>
    <x:xf numFmtId="0" fontId="4" fillId="14" borderId="3" xfId="0" applyNumberFormat="1" applyFont="1" applyFill="1" applyBorder="1" applyAlignment="1">
      <x:alignment horizontal="center" vertical="center" wrapText="1"/>
    </x:xf>
    <x:xf numFmtId="0" fontId="4" fillId="14" borderId="4" xfId="0" applyNumberFormat="1" applyFont="1" applyFill="1" applyBorder="1" applyAlignment="1">
      <x:alignment horizontal="center" vertical="center" wrapText="1"/>
    </x:xf>
    <x:xf numFmtId="0" fontId="2" fillId="14" borderId="6" xfId="0" applyNumberFormat="1" applyFont="1" applyFill="1" applyBorder="1" applyAlignment="1">
      <x:alignment vertical="center" wrapText="1"/>
    </x:xf>
    <x:xf numFmtId="164" fontId="2" fillId="14" borderId="7" xfId="0" applyNumberFormat="1" applyFont="1" applyFill="1" applyBorder="1" applyAlignment="1">
      <x:alignment horizontal="right" vertical="center" wrapText="1"/>
    </x:xf>
    <x:xf numFmtId="164" fontId="2" fillId="14" borderId="6" xfId="0" applyNumberFormat="1" applyFont="1" applyFill="1" applyBorder="1" applyAlignment="1">
      <x:alignment horizontal="right" vertical="center" wrapText="1"/>
    </x:xf>
    <x:xf numFmtId="2" fontId="2" fillId="14" borderId="6" xfId="0" applyNumberFormat="1" applyFont="1" applyFill="1" applyBorder="1" applyAlignment="1">
      <x:alignment horizontal="right" vertical="center" wrapText="1"/>
    </x:xf>
    <x:xf numFmtId="4" fontId="1" fillId="14" borderId="0" xfId="0" applyNumberFormat="1" applyFont="1" applyFill="1" applyBorder="1" applyAlignment="1">
      <x:alignment vertical="center"/>
    </x:xf>
    <x:xf numFmtId="165" fontId="1" fillId="14" borderId="0" xfId="0" applyNumberFormat="1" applyFont="1" applyFill="1" applyBorder="1" applyAlignment="1">
      <x:alignment vertical="center"/>
    </x:xf>
    <x:xf numFmtId="166" fontId="1" fillId="14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4" fillId="14" borderId="6" xfId="0" applyNumberFormat="1" applyFont="1" applyFill="1" applyBorder="1" applyAlignment="1">
      <x:alignment vertical="center" wrapText="1"/>
    </x:xf>
    <x:xf numFmtId="164" fontId="4" fillId="14" borderId="7" xfId="0" applyNumberFormat="1" applyFont="1" applyFill="1" applyBorder="1" applyAlignment="1">
      <x:alignment horizontal="right" vertical="center" wrapText="1"/>
    </x:xf>
    <x:xf numFmtId="164" fontId="4" fillId="14" borderId="6" xfId="0" applyNumberFormat="1" applyFont="1" applyFill="1" applyBorder="1" applyAlignment="1">
      <x:alignment horizontal="right" vertical="center" wrapText="1"/>
    </x:xf>
    <x:xf numFmtId="2" fontId="4" fillId="14" borderId="6" xfId="0" applyNumberFormat="1" applyFont="1" applyFill="1" applyBorder="1" applyAlignment="1">
      <x:alignment horizontal="right" vertical="center" wrapText="1"/>
    </x:xf>
    <x:xf numFmtId="4" fontId="6" fillId="14" borderId="0" xfId="0" applyNumberFormat="1" applyFont="1" applyFill="1" applyBorder="1" applyAlignment="1">
      <x:alignment vertical="center"/>
    </x:xf>
    <x:xf numFmtId="165" fontId="6" fillId="14" borderId="0" xfId="0" applyNumberFormat="1" applyFont="1" applyFill="1" applyBorder="1" applyAlignment="1">
      <x:alignment vertical="center"/>
    </x:xf>
    <x:xf numFmtId="166" fontId="6" fillId="14" borderId="0" xfId="0" applyNumberFormat="1" applyFont="1" applyFill="1" applyBorder="1" applyAlignment="1">
      <x:alignment vertical="center"/>
    </x:xf>
    <x:xf numFmtId="0" fontId="9" fillId="14" borderId="0" xfId="0" applyNumberFormat="1" applyFont="1" applyFill="1" applyBorder="1"/>
    <x:xf numFmtId="0" fontId="2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2" fillId="14" borderId="0" xfId="0" applyNumberFormat="1" applyFont="1" applyFill="1" applyBorder="1" applyAlignment="1">
      <x:alignment vertical="center" wrapText="1"/>
    </x:xf>
    <x:xf numFmtId="0" fontId="4" fillId="14" borderId="0" xfId="0" applyNumberFormat="1" applyFont="1" applyFill="1" applyBorder="1" applyAlignment="1">
      <x:alignment vertical="center" wrapText="1"/>
    </x:xf>
    <x:xf numFmtId="0" fontId="4" fillId="14" borderId="9" xfId="0" applyNumberFormat="1" applyFont="1" applyFill="1" applyBorder="1" applyAlignment="1">
      <x:alignment horizontal="center" vertical="center" wrapText="1"/>
    </x:xf>
    <x:xf numFmtId="0" fontId="4" fillId="14" borderId="10" xfId="0" applyNumberFormat="1" applyFont="1" applyFill="1" applyBorder="1" applyAlignment="1">
      <x:alignment horizontal="center" vertical="center" wrapText="1"/>
    </x:xf>
    <x:xf numFmtId="0" fontId="4" fillId="14" borderId="11" xfId="0" applyNumberFormat="1" applyFont="1" applyFill="1" applyBorder="1" applyAlignment="1">
      <x:alignment horizontal="center" vertical="center" wrapText="1"/>
    </x:xf>
    <x:xf numFmtId="0" fontId="4" fillId="14" borderId="12" xfId="0" applyNumberFormat="1" applyFont="1" applyFill="1" applyBorder="1" applyAlignment="1">
      <x:alignment vertical="center"/>
    </x:xf>
    <x:xf numFmtId="0" fontId="4" fillId="14" borderId="12" xfId="0" applyNumberFormat="1" applyFont="1" applyFill="1" applyBorder="1" applyAlignment="1">
      <x:alignment vertical="center" wrapText="1"/>
    </x:xf>
  </x:cellXfs>
  <x:cellStyles count="2">
    <x:cellStyle name="Normal" xfId="1"/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d52f228dfb4869" /><Relationship Type="http://schemas.openxmlformats.org/officeDocument/2006/relationships/theme" Target="/xl/theme/theme1.xml" Id="R2c84ba198f20497c" /><Relationship Type="http://schemas.openxmlformats.org/officeDocument/2006/relationships/sharedStrings" Target="/xl/sharedStrings.xml" Id="R7e2679c1ab1447ac" /><Relationship Type="http://schemas.openxmlformats.org/officeDocument/2006/relationships/worksheet" Target="/xl/worksheets/sheet1.xml" Id="R312e423e57434da7" /><Relationship Type="http://schemas.openxmlformats.org/officeDocument/2006/relationships/worksheet" Target="/xl/worksheets/sheet2.xml" Id="Rb20df739e0c049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4C66"/>
  </x:sheetPr>
  <x:sheetViews>
    <x:sheetView showGridLines="0" workbookViewId="0">
      <x:pane ySplit="4" topLeftCell="A5" activePane="bottomLeft" state="frozen"/>
    </x:sheetView>
  </x:sheetViews>
  <x:sheetFormatPr defaultRowHeight="14.25"/>
  <x:cols>
    <x:col min="1" max="1" width="13.75" customWidth="1"/>
    <x:col min="2" max="2" width="25.625" customWidth="1"/>
    <x:col min="3" max="3" width="65" customWidth="1"/>
    <x:col min="4" max="4" width="13.75" customWidth="1"/>
    <x:col min="5" max="5" width="11.875" customWidth="1"/>
    <x:col min="6" max="6" width="15" customWidth="1"/>
    <x:col min="7" max="7" width="10.625" customWidth="1"/>
    <x:col min="8" max="9" width="17.5" customWidth="1"/>
    <x:col min="10" max="10" width="18.125" customWidth="1"/>
    <x:col min="11" max="13" width="18" customWidth="1"/>
    <x:col min="14" max="14" width="10" customWidth="1"/>
    <x:col min="15" max="15" width="18" customWidth="1"/>
    <x:col min="16" max="16" width="10" customWidth="1"/>
    <x:col min="17" max="18" width="18" customWidth="1"/>
    <x:col min="19" max="19" width="18" customWidth="1"/>
    <x:col min="20" max="24" width="18" customWidth="1"/>
    <x:col min="25" max="25" width="18" customWidth="1"/>
    <x:col min="26" max="26" width="30" hidden="0" customWidth="1"/>
    <x:col min="27" max="27" width="30" hidden="0" customWidth="1"/>
    <x:col min="28" max="28" width="12" customWidth="1"/>
    <x:col min="29" max="30" width="14" customWidth="1"/>
  </x:cols>
  <x:sheetData>
    <x:row r="1" ht="32.099998474121094" customHeight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</x:row>
    <x:row r="2" ht="28" customHeight="1">
      <x:c r="A2" s="52" t="str">
        <x:v>Цены, ставки и коэффициенты задаются на листе «Настройки».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</x:row>
    <x:row r="3" ht="28" customHeight="1">
      <x:c r="A3" s="52" t="str">
        <x:v>Фильтруйте уровни по столбцу «Тип». Неполные суммы складывают только известные стоимости.</x:v>
      </x:c>
      <x:c r="B3" s="52"/>
      <x:c r="C3" s="52"/>
      <x:c r="D3" s="52"/>
      <x:c r="E3" s="52"/>
      <x:c r="F3" s="52"/>
      <x:c r="G3" s="52"/>
      <x:c r="H3" s="52"/>
      <x:c r="I3" s="52"/>
      <x:c r="J3" s="52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</x:row>
    <x:row r="4" ht="57.95000076293945" customHeight="1">
      <x:c r="A4" s="93" t="s">
        <x:v>0</x:v>
      </x:c>
      <x:c r="B4" s="94" t="s">
        <x:v>1</x:v>
      </x:c>
      <x:c r="C4" s="94" t="s">
        <x:v>2</x:v>
      </x:c>
      <x:c r="D4" s="94" t="s">
        <x:v>3</x:v>
      </x:c>
      <x:c r="E4" s="94" t="s">
        <x:v>4</x:v>
      </x:c>
      <x:c r="F4" s="94" t="s">
        <x:v>5</x:v>
      </x:c>
      <x:c r="G4" s="94" t="s">
        <x:v>6</x:v>
      </x:c>
      <x:c r="H4" s="94" t="s">
        <x:v>7</x:v>
      </x:c>
      <x:c r="I4" s="94" t="s">
        <x:v>8</x:v>
      </x:c>
      <x:c r="J4" s="95" t="s">
        <x:v>9</x:v>
      </x:c>
      <x:c r="K4" s="93" t="s">
        <x:v>10</x:v>
      </x:c>
      <x:c r="L4" s="94" t="s">
        <x:v>11</x:v>
      </x:c>
      <x:c r="M4" s="94" t="s">
        <x:v>12</x:v>
      </x:c>
      <x:c r="N4" s="94" t="s">
        <x:v>13</x:v>
      </x:c>
      <x:c r="O4" s="94" t="s">
        <x:v>14</x:v>
      </x:c>
      <x:c r="P4" s="94" t="s">
        <x:v>15</x:v>
      </x:c>
      <x:c r="Q4" s="94" t="s">
        <x:v>16</x:v>
      </x:c>
      <x:c r="R4" s="94" t="s">
        <x:v>17</x:v>
      </x:c>
      <x:c r="S4" s="94" t="s">
        <x:v>18</x:v>
      </x:c>
      <x:c r="T4" s="94" t="s">
        <x:v>19</x:v>
      </x:c>
      <x:c r="U4" s="94" t="s">
        <x:v>20</x:v>
      </x:c>
      <x:c r="V4" s="94" t="s">
        <x:v>21</x:v>
      </x:c>
      <x:c r="W4" s="94" t="s">
        <x:v>22</x:v>
      </x:c>
      <x:c r="X4" s="94" t="s">
        <x:v>23</x:v>
      </x:c>
      <x:c r="Y4" s="94" t="s">
        <x:v>24</x:v>
      </x:c>
      <x:c r="Z4" s="93" t="str">
        <x:v>Источник цены</x:v>
      </x:c>
      <x:c r="AA4" s="94" t="str">
        <x:v>Полнота суммы</x:v>
      </x:c>
      <x:c r="AB4"/>
      <x:c r="AC4"/>
      <x:c r="AD4"/>
    </x:row>
    <x:row r="5" ht="30" customHeight="1">
      <x:c r="A5" s="81" t="s">
        <x:v>25</x:v>
      </x:c>
      <x:c r="B5" s="81"/>
      <x:c r="C5" s="81" t="s">
        <x:v>26</x:v>
      </x:c>
      <x:c r="D5" s="82"/>
      <x:c r="E5" s="81"/>
      <x:c r="F5" s="83"/>
      <x:c r="G5" s="84"/>
      <x:c r="H5" s="83" t="n">
        <x:f>SUM(H6,H52)</x:f>
        <x:v>654.2334798854394</x:v>
      </x:c>
      <x:c r="I5" s="83" t="n">
        <x:f>SUM(I6,I52)</x:f>
        <x:v>5168.001663815754</x:v>
      </x:c>
      <x:c r="J5" s="83" t="n">
        <x:f>SUM(J6,J52)</x:f>
        <x:v>6665.883029815754</x:v>
      </x:c>
      <x:c r="K5" s="85"/>
      <x:c r="L5" s="85"/>
      <x:c r="M5" s="85"/>
      <x:c r="N5" s="86"/>
      <x:c r="O5" s="85"/>
      <x:c r="P5" s="86"/>
      <x:c r="Q5" s="85"/>
      <x:c r="R5" s="85"/>
      <x:c r="S5" s="87"/>
      <x:c r="T5" s="85"/>
      <x:c r="U5" s="85"/>
      <x:c r="V5" s="85"/>
      <x:c r="W5" s="85"/>
      <x:c r="X5" s="85"/>
      <x:c r="Y5" s="85"/>
      <x:c r="Z5" s="88"/>
      <x:c r="AA5" s="88"/>
      <x:c r="AB5"/>
      <x:c r="AC5"/>
      <x:c r="AD5"/>
    </x:row>
    <x:row r="6" ht="30" customHeight="1">
      <x:c r="A6" s="13" t="s">
        <x:v>27</x:v>
      </x:c>
      <x:c r="B6" s="13" t="s">
        <x:v>28</x:v>
      </x:c>
      <x:c r="C6" s="13" t="s">
        <x:v>29</x:v>
      </x:c>
      <x:c r="D6" s="14"/>
      <x:c r="E6" s="13"/>
      <x:c r="F6" s="15"/>
      <x:c r="G6" s="16"/>
      <x:c r="H6" s="15" t="n">
        <x:f>SUM(H7,H33)</x:f>
        <x:v>654.2334798854394</x:v>
      </x:c>
      <x:c r="I6" s="15" t="n">
        <x:f>SUM(I7,I33)</x:f>
        <x:v>4019.0687378157545</x:v>
      </x:c>
      <x:c r="J6" s="15" t="n">
        <x:f>SUM(J7,J33)</x:f>
        <x:v>4435.206237815754</x:v>
      </x:c>
      <x:c r="K6" s="44"/>
      <x:c r="L6" s="44"/>
      <x:c r="M6" s="44"/>
      <x:c r="N6" s="43"/>
      <x:c r="O6" s="44"/>
      <x:c r="P6" s="43"/>
      <x:c r="Q6" s="44"/>
      <x:c r="R6" s="44"/>
      <x:c r="S6" s="45"/>
      <x:c r="T6" s="44"/>
      <x:c r="U6" s="44"/>
      <x:c r="V6" s="44"/>
      <x:c r="W6" s="44"/>
      <x:c r="X6" s="44"/>
      <x:c r="Y6" s="44"/>
      <x:c r="Z6"/>
      <x:c r="AA6"/>
      <x:c r="AB6"/>
      <x:c r="AC6"/>
      <x:c r="AD6"/>
    </x:row>
    <x:row r="7" ht="30" customHeight="1">
      <x:c r="A7" s="17" t="s">
        <x:v>30</x:v>
      </x:c>
      <x:c r="B7" s="17" t="s">
        <x:v>31</x:v>
      </x:c>
      <x:c r="C7" s="17" t="s">
        <x:v>31</x:v>
      </x:c>
      <x:c r="D7" s="18"/>
      <x:c r="E7" s="17"/>
      <x:c r="F7" s="19"/>
      <x:c r="G7" s="20"/>
      <x:c r="H7" s="19" t="n">
        <x:f>SUM(H8)</x:f>
        <x:v>30.045600000000004</x:v>
      </x:c>
      <x:c r="I7" s="19" t="n">
        <x:f>SUM(I8)</x:f>
        <x:v>2287.2645</x:v>
      </x:c>
      <x:c r="J7" s="19" t="n">
        <x:f>SUM(J8)</x:f>
        <x:v>2703.402</x:v>
      </x:c>
      <x:c r="K7" s="44"/>
      <x:c r="L7" s="44"/>
      <x:c r="M7" s="44"/>
      <x:c r="N7" s="43"/>
      <x:c r="O7" s="44"/>
      <x:c r="P7" s="43"/>
      <x:c r="Q7" s="44"/>
      <x:c r="R7" s="44"/>
      <x:c r="S7" s="45"/>
      <x:c r="T7" s="44"/>
      <x:c r="U7" s="44"/>
      <x:c r="V7" s="44"/>
      <x:c r="W7" s="44"/>
      <x:c r="X7" s="44"/>
      <x:c r="Y7" s="44"/>
      <x:c r="Z7"/>
      <x:c r="AA7"/>
      <x:c r="AB7"/>
      <x:c r="AC7"/>
      <x:c r="AD7"/>
    </x:row>
    <x:row r="8" ht="30" customHeight="1">
      <x:c r="A8" s="21" t="s">
        <x:v>32</x:v>
      </x:c>
      <x:c r="B8" s="21" t="s">
        <x:v>33</x:v>
      </x:c>
      <x:c r="C8" s="21" t="s">
        <x:v>34</x:v>
      </x:c>
      <x:c r="D8" s="22">
        <x:v>15</x:v>
      </x:c>
      <x:c r="E8" s="21" t="s">
        <x:v>35</x:v>
      </x:c>
      <x:c r="F8" s="23"/>
      <x:c r="G8" s="24"/>
      <x:c r="H8" s="23" t="n">
        <x:f>SUM(H9,H12,H18,H22,H27,H32)</x:f>
        <x:v>30.045600000000004</x:v>
      </x:c>
      <x:c r="I8" s="23" t="n">
        <x:f>SUM(I9,I12,I18,I22,I27,I32)</x:f>
        <x:v>2287.2645</x:v>
      </x:c>
      <x:c r="J8" s="23" t="n">
        <x:f>SUM(J9,J12,J18,J22,J27,J32)</x:f>
        <x:v>2703.402</x:v>
      </x:c>
      <x:c r="K8" s="44"/>
      <x:c r="L8" s="44"/>
      <x:c r="M8" s="44"/>
      <x:c r="N8" s="43"/>
      <x:c r="O8" s="44"/>
      <x:c r="P8" s="43"/>
      <x:c r="Q8" s="44"/>
      <x:c r="R8" s="44"/>
      <x:c r="S8" s="45"/>
      <x:c r="T8" s="44"/>
      <x:c r="U8" s="44"/>
      <x:c r="V8" s="44"/>
      <x:c r="W8" s="44"/>
      <x:c r="X8" s="44"/>
      <x:c r="Y8" s="44"/>
      <x:c r="Z8"/>
      <x:c r="AA8"/>
      <x:c r="AB8"/>
      <x:c r="AC8"/>
      <x:c r="AD8"/>
    </x:row>
    <x:row r="9" ht="42" customHeight="1">
      <x:c r="A9" s="25" t="s">
        <x:v>36</x:v>
      </x:c>
      <x:c r="B9" s="25" t="s">
        <x:v>37</x:v>
      </x:c>
      <x:c r="C9" s="25" t="s">
        <x:v>38</x:v>
      </x:c>
      <x:c r="D9" s="26">
        <x:v>135</x:v>
      </x:c>
      <x:c r="E9" s="25" t="s">
        <x:v>39</x:v>
      </x:c>
      <x:c r="F9" s="27"/>
      <x:c r="G9" s="28"/>
      <x:c r="H9" s="27" t="n">
        <x:f>SUM(H10,H11)</x:f>
        <x:v>0</x:v>
      </x:c>
      <x:c r="I9" s="27" t="n">
        <x:f>SUM(I10,I11)</x:f>
        <x:v>283.5</x:v>
      </x:c>
      <x:c r="J9" s="27" t="n">
        <x:f>SUM(J10,J11)</x:f>
        <x:v>283.5</x:v>
      </x:c>
      <x:c r="K9" s="44"/>
      <x:c r="L9" s="44"/>
      <x:c r="M9" s="44"/>
      <x:c r="N9" s="43"/>
      <x:c r="O9" s="44"/>
      <x:c r="P9" s="43"/>
      <x:c r="Q9" s="44"/>
      <x:c r="R9" s="44"/>
      <x:c r="S9" s="45"/>
      <x:c r="T9" s="44"/>
      <x:c r="U9" s="44"/>
      <x:c r="V9" s="44"/>
      <x:c r="W9" s="44"/>
      <x:c r="X9" s="44"/>
      <x:c r="Y9" s="44"/>
      <x:c r="Z9"/>
      <x:c r="AA9"/>
      <x:c r="AB9"/>
      <x:c r="AC9"/>
      <x:c r="AD9"/>
    </x:row>
    <x:row r="10" ht="30" customHeight="1">
      <x:c r="A10" s="5" t="s">
        <x:v>40</x:v>
      </x:c>
      <x:c r="B10" s="5" t="s">
        <x:v>41</x:v>
      </x:c>
      <x:c r="C10" s="5" t="s">
        <x:v>42</x:v>
      </x:c>
      <x:c r="D10" s="6" t="n">
        <x:f>D9*F10*G10</x:f>
        <x:v>283.5</x:v>
      </x:c>
      <x:c r="E10" s="5" t="s">
        <x:v>43</x:v>
      </x:c>
      <x:c r="F10" s="7">
        <x:v>2.1</x:v>
      </x:c>
      <x:c r="G10" s="8">
        <x:v>1</x:v>
      </x:c>
      <x:c r="H10" s="7" t="n">
        <x:f>0</x:f>
        <x:v>0</x:v>
      </x:c>
      <x:c r="I10" s="7" t="n">
        <x:f>0</x:f>
        <x:v>0</x:v>
      </x:c>
      <x:c r="J10" s="7" t="n">
        <x:f>D10</x:f>
        <x:v>283.5</x:v>
      </x:c>
      <x:c r="K10" s="44"/>
      <x:c r="L10" s="44"/>
      <x:c r="M10" s="44"/>
      <x:c r="N10" s="43"/>
      <x:c r="O10" s="44"/>
      <x:c r="P10" s="43"/>
      <x:c r="Q10" s="44"/>
      <x:c r="R10" s="44"/>
      <x:c r="S10" s="45"/>
      <x:c r="T10" s="44"/>
      <x:c r="U10" s="44"/>
      <x:c r="V10" s="44"/>
      <x:c r="W10" s="44"/>
      <x:c r="X10" s="44"/>
      <x:c r="Y10" s="44"/>
      <x:c r="Z10"/>
      <x:c r="AA10"/>
      <x:c r="AB10"/>
      <x:c r="AC10"/>
      <x:c r="AD10"/>
    </x:row>
    <x:row r="11" ht="30" customHeight="1">
      <x:c r="A11" s="29" t="s">
        <x:v>44</x:v>
      </x:c>
      <x:c r="B11" s="29" t="s">
        <x:v>45</x:v>
      </x:c>
      <x:c r="C11" s="29" t="s">
        <x:v>46</x:v>
      </x:c>
      <x:c r="D11" s="30" t="n">
        <x:f>D9*F11*G11</x:f>
        <x:v>283.5</x:v>
      </x:c>
      <x:c r="E11" s="29" t="s">
        <x:v>47</x:v>
      </x:c>
      <x:c r="F11" s="31">
        <x:v>2.1</x:v>
      </x:c>
      <x:c r="G11" s="32">
        <x:v>1</x:v>
      </x:c>
      <x:c r="H11" s="31" t="n">
        <x:f>0</x:f>
        <x:v>0</x:v>
      </x:c>
      <x:c r="I11" s="31" t="n">
        <x:f>D11</x:f>
        <x:v>283.5</x:v>
      </x:c>
      <x:c r="J11" s="31" t="n">
        <x:f>0</x:f>
        <x:v>0</x:v>
      </x:c>
      <x:c r="K11" s="44"/>
      <x:c r="L11" s="44"/>
      <x:c r="M11" s="44"/>
      <x:c r="N11" s="43"/>
      <x:c r="O11" s="44"/>
      <x:c r="P11" s="43"/>
      <x:c r="Q11" s="44"/>
      <x:c r="R11" s="44"/>
      <x:c r="S11" s="45"/>
      <x:c r="T11" s="44"/>
      <x:c r="U11" s="44"/>
      <x:c r="V11" s="44"/>
      <x:c r="W11" s="44"/>
      <x:c r="X11" s="44"/>
      <x:c r="Y11" s="44"/>
      <x:c r="Z11"/>
      <x:c r="AA11"/>
      <x:c r="AB11"/>
      <x:c r="AC11"/>
      <x:c r="AD11"/>
    </x:row>
    <x:row r="12" ht="42" customHeight="1">
      <x:c r="A12" s="25" t="s">
        <x:v>36</x:v>
      </x:c>
      <x:c r="B12" s="25" t="s">
        <x:v>48</x:v>
      </x:c>
      <x:c r="C12" s="25" t="s">
        <x:v>49</x:v>
      </x:c>
      <x:c r="D12" s="26">
        <x:v>101.25</x:v>
      </x:c>
      <x:c r="E12" s="25" t="s">
        <x:v>39</x:v>
      </x:c>
      <x:c r="F12" s="27"/>
      <x:c r="G12" s="28"/>
      <x:c r="H12" s="27" t="n">
        <x:f>SUM(H13,H14,H15,H16,H17)</x:f>
        <x:v>0</x:v>
      </x:c>
      <x:c r="I12" s="27" t="n">
        <x:f>SUM(I13,I14,I15,I16,I17)</x:f>
        <x:v>1586.5875</x:v>
      </x:c>
      <x:c r="J12" s="27" t="n">
        <x:f>SUM(J13,J14,J15,J16,J17)</x:f>
        <x:v>1725.3000000000002</x:v>
      </x:c>
      <x:c r="K12" s="44"/>
      <x:c r="L12" s="44"/>
      <x:c r="M12" s="44"/>
      <x:c r="N12" s="43"/>
      <x:c r="O12" s="44"/>
      <x:c r="P12" s="43"/>
      <x:c r="Q12" s="44"/>
      <x:c r="R12" s="44"/>
      <x:c r="S12" s="45"/>
      <x:c r="T12" s="44"/>
      <x:c r="U12" s="44"/>
      <x:c r="V12" s="44"/>
      <x:c r="W12" s="44"/>
      <x:c r="X12" s="44"/>
      <x:c r="Y12" s="44"/>
      <x:c r="Z12"/>
      <x:c r="AA12"/>
      <x:c r="AB12"/>
      <x:c r="AC12"/>
      <x:c r="AD12"/>
    </x:row>
    <x:row r="13" ht="30" customHeight="1">
      <x:c r="A13" s="29" t="s">
        <x:v>40</x:v>
      </x:c>
      <x:c r="B13" s="29" t="s">
        <x:v>41</x:v>
      </x:c>
      <x:c r="C13" s="29" t="s">
        <x:v>42</x:v>
      </x:c>
      <x:c r="D13" s="30" t="n">
        <x:f>D12*F13*G13</x:f>
        <x:v>1447.875</x:v>
      </x:c>
      <x:c r="E13" s="29" t="s">
        <x:v>43</x:v>
      </x:c>
      <x:c r="F13" s="31">
        <x:v>14.3</x:v>
      </x:c>
      <x:c r="G13" s="32">
        <x:v>1</x:v>
      </x:c>
      <x:c r="H13" s="31" t="n">
        <x:f>0</x:f>
        <x:v>0</x:v>
      </x:c>
      <x:c r="I13" s="31" t="n">
        <x:f>0</x:f>
        <x:v>0</x:v>
      </x:c>
      <x:c r="J13" s="31" t="n">
        <x:f>D13</x:f>
        <x:v>1447.875</x:v>
      </x:c>
      <x:c r="K13" s="44"/>
      <x:c r="L13" s="44"/>
      <x:c r="M13" s="44"/>
      <x:c r="N13" s="43"/>
      <x:c r="O13" s="44"/>
      <x:c r="P13" s="43"/>
      <x:c r="Q13" s="44"/>
      <x:c r="R13" s="44"/>
      <x:c r="S13" s="45"/>
      <x:c r="T13" s="44"/>
      <x:c r="U13" s="44"/>
      <x:c r="V13" s="44"/>
      <x:c r="W13" s="44"/>
      <x:c r="X13" s="44"/>
      <x:c r="Y13" s="44"/>
      <x:c r="Z13"/>
      <x:c r="AA13"/>
      <x:c r="AB13"/>
      <x:c r="AC13"/>
      <x:c r="AD13"/>
    </x:row>
    <x:row r="14" ht="30" customHeight="1">
      <x:c r="A14" s="5" t="s">
        <x:v>40</x:v>
      </x:c>
      <x:c r="B14" s="5" t="s">
        <x:v>50</x:v>
      </x:c>
      <x:c r="C14" s="5" t="s">
        <x:v>51</x:v>
      </x:c>
      <x:c r="D14" s="6" t="n">
        <x:f>D12*F14*G14</x:f>
        <x:v>138.7125</x:v>
      </x:c>
      <x:c r="E14" s="5" t="s">
        <x:v>43</x:v>
      </x:c>
      <x:c r="F14" s="7">
        <x:v>1.37</x:v>
      </x:c>
      <x:c r="G14" s="8">
        <x:v>1</x:v>
      </x:c>
      <x:c r="H14" s="7" t="n">
        <x:f>0</x:f>
        <x:v>0</x:v>
      </x:c>
      <x:c r="I14" s="7" t="n">
        <x:f>0</x:f>
        <x:v>0</x:v>
      </x:c>
      <x:c r="J14" s="7" t="n">
        <x:f>D14</x:f>
        <x:v>138.7125</x:v>
      </x:c>
      <x:c r="K14" s="44"/>
      <x:c r="L14" s="44"/>
      <x:c r="M14" s="44"/>
      <x:c r="N14" s="43"/>
      <x:c r="O14" s="44"/>
      <x:c r="P14" s="43"/>
      <x:c r="Q14" s="44"/>
      <x:c r="R14" s="44"/>
      <x:c r="S14" s="45"/>
      <x:c r="T14" s="44"/>
      <x:c r="U14" s="44"/>
      <x:c r="V14" s="44"/>
      <x:c r="W14" s="44"/>
      <x:c r="X14" s="44"/>
      <x:c r="Y14" s="44"/>
      <x:c r="Z14"/>
      <x:c r="AA14"/>
      <x:c r="AB14"/>
      <x:c r="AC14"/>
      <x:c r="AD14"/>
    </x:row>
    <x:row r="15" ht="30" customHeight="1">
      <x:c r="A15" s="29" t="s">
        <x:v>40</x:v>
      </x:c>
      <x:c r="B15" s="29" t="s">
        <x:v>52</x:v>
      </x:c>
      <x:c r="C15" s="29" t="s">
        <x:v>53</x:v>
      </x:c>
      <x:c r="D15" s="30" t="n">
        <x:f>D12*F15*G15</x:f>
        <x:v>138.7125</x:v>
      </x:c>
      <x:c r="E15" s="29" t="s">
        <x:v>43</x:v>
      </x:c>
      <x:c r="F15" s="31">
        <x:v>1.37</x:v>
      </x:c>
      <x:c r="G15" s="32">
        <x:v>1</x:v>
      </x:c>
      <x:c r="H15" s="31" t="n">
        <x:f>0</x:f>
        <x:v>0</x:v>
      </x:c>
      <x:c r="I15" s="31" t="n">
        <x:f>0</x:f>
        <x:v>0</x:v>
      </x:c>
      <x:c r="J15" s="31" t="n">
        <x:f>D15</x:f>
        <x:v>138.7125</x:v>
      </x:c>
      <x:c r="K15" s="44"/>
      <x:c r="L15" s="44"/>
      <x:c r="M15" s="44"/>
      <x:c r="N15" s="43"/>
      <x:c r="O15" s="44"/>
      <x:c r="P15" s="43"/>
      <x:c r="Q15" s="44"/>
      <x:c r="R15" s="44"/>
      <x:c r="S15" s="45"/>
      <x:c r="T15" s="44"/>
      <x:c r="U15" s="44"/>
      <x:c r="V15" s="44"/>
      <x:c r="W15" s="44"/>
      <x:c r="X15" s="44"/>
      <x:c r="Y15" s="44"/>
      <x:c r="Z15"/>
      <x:c r="AA15"/>
      <x:c r="AB15"/>
      <x:c r="AC15"/>
      <x:c r="AD15"/>
    </x:row>
    <x:row r="16" ht="30" customHeight="1">
      <x:c r="A16" s="5" t="s">
        <x:v>44</x:v>
      </x:c>
      <x:c r="B16" s="5" t="s">
        <x:v>54</x:v>
      </x:c>
      <x:c r="C16" s="5" t="s">
        <x:v>55</x:v>
      </x:c>
      <x:c r="D16" s="6" t="n">
        <x:f>D12*F16*G16</x:f>
        <x:v>138.7125</x:v>
      </x:c>
      <x:c r="E16" s="5" t="s">
        <x:v>47</x:v>
      </x:c>
      <x:c r="F16" s="7">
        <x:v>1.37</x:v>
      </x:c>
      <x:c r="G16" s="8">
        <x:v>1</x:v>
      </x:c>
      <x:c r="H16" s="7" t="n">
        <x:f>0</x:f>
        <x:v>0</x:v>
      </x:c>
      <x:c r="I16" s="7" t="n">
        <x:f>D16</x:f>
        <x:v>138.7125</x:v>
      </x:c>
      <x:c r="J16" s="7" t="n">
        <x:f>0</x:f>
        <x:v>0</x:v>
      </x:c>
      <x:c r="K16" s="44"/>
      <x:c r="L16" s="44"/>
      <x:c r="M16" s="44"/>
      <x:c r="N16" s="43"/>
      <x:c r="O16" s="44"/>
      <x:c r="P16" s="43"/>
      <x:c r="Q16" s="44"/>
      <x:c r="R16" s="44"/>
      <x:c r="S16" s="45"/>
      <x:c r="T16" s="44"/>
      <x:c r="U16" s="44"/>
      <x:c r="V16" s="44"/>
      <x:c r="W16" s="44"/>
      <x:c r="X16" s="44"/>
      <x:c r="Y16" s="44"/>
      <x:c r="Z16"/>
      <x:c r="AA16"/>
      <x:c r="AB16"/>
      <x:c r="AC16"/>
      <x:c r="AD16"/>
    </x:row>
    <x:row r="17" ht="30" customHeight="1">
      <x:c r="A17" s="29" t="s">
        <x:v>44</x:v>
      </x:c>
      <x:c r="B17" s="29" t="s">
        <x:v>45</x:v>
      </x:c>
      <x:c r="C17" s="29" t="s">
        <x:v>46</x:v>
      </x:c>
      <x:c r="D17" s="30" t="n">
        <x:f>D12*F17*G17</x:f>
        <x:v>1447.875</x:v>
      </x:c>
      <x:c r="E17" s="29" t="s">
        <x:v>47</x:v>
      </x:c>
      <x:c r="F17" s="31">
        <x:v>14.3</x:v>
      </x:c>
      <x:c r="G17" s="32">
        <x:v>1</x:v>
      </x:c>
      <x:c r="H17" s="31" t="n">
        <x:f>0</x:f>
        <x:v>0</x:v>
      </x:c>
      <x:c r="I17" s="31" t="n">
        <x:f>D17</x:f>
        <x:v>1447.875</x:v>
      </x:c>
      <x:c r="J17" s="31" t="n">
        <x:f>0</x:f>
        <x:v>0</x:v>
      </x:c>
      <x:c r="K17" s="44"/>
      <x:c r="L17" s="44"/>
      <x:c r="M17" s="44"/>
      <x:c r="N17" s="43"/>
      <x:c r="O17" s="44"/>
      <x:c r="P17" s="43"/>
      <x:c r="Q17" s="44"/>
      <x:c r="R17" s="44"/>
      <x:c r="S17" s="45"/>
      <x:c r="T17" s="44"/>
      <x:c r="U17" s="44"/>
      <x:c r="V17" s="44"/>
      <x:c r="W17" s="44"/>
      <x:c r="X17" s="44"/>
      <x:c r="Y17" s="44"/>
      <x:c r="Z17"/>
      <x:c r="AA17"/>
      <x:c r="AB17"/>
      <x:c r="AC17"/>
      <x:c r="AD17"/>
    </x:row>
    <x:row r="18" ht="42" customHeight="1">
      <x:c r="A18" s="25" t="s">
        <x:v>36</x:v>
      </x:c>
      <x:c r="B18" s="25" t="s">
        <x:v>56</x:v>
      </x:c>
      <x:c r="C18" s="25" t="s">
        <x:v>57</x:v>
      </x:c>
      <x:c r="D18" s="26">
        <x:v>101.25</x:v>
      </x:c>
      <x:c r="E18" s="25" t="s">
        <x:v>39</x:v>
      </x:c>
      <x:c r="F18" s="27"/>
      <x:c r="G18" s="28"/>
      <x:c r="H18" s="27" t="n">
        <x:f>SUM(H19,H20,H21)</x:f>
        <x:v>0</x:v>
      </x:c>
      <x:c r="I18" s="27" t="n">
        <x:f>SUM(I19,I20,I21)</x:f>
        <x:v>277.425</x:v>
      </x:c>
      <x:c r="J18" s="27" t="n">
        <x:f>SUM(J19,J20,J21)</x:f>
        <x:v>554.85</x:v>
      </x:c>
      <x:c r="K18" s="44"/>
      <x:c r="L18" s="44"/>
      <x:c r="M18" s="44"/>
      <x:c r="N18" s="43"/>
      <x:c r="O18" s="44"/>
      <x:c r="P18" s="43"/>
      <x:c r="Q18" s="44"/>
      <x:c r="R18" s="44"/>
      <x:c r="S18" s="45"/>
      <x:c r="T18" s="44"/>
      <x:c r="U18" s="44"/>
      <x:c r="V18" s="44"/>
      <x:c r="W18" s="44"/>
      <x:c r="X18" s="44"/>
      <x:c r="Y18" s="44"/>
      <x:c r="Z18"/>
      <x:c r="AA18"/>
      <x:c r="AB18"/>
      <x:c r="AC18"/>
      <x:c r="AD18"/>
    </x:row>
    <x:row r="19" ht="30" customHeight="1">
      <x:c r="A19" s="29" t="s">
        <x:v>40</x:v>
      </x:c>
      <x:c r="B19" s="29" t="s">
        <x:v>50</x:v>
      </x:c>
      <x:c r="C19" s="29" t="s">
        <x:v>51</x:v>
      </x:c>
      <x:c r="D19" s="30" t="n">
        <x:f>D18*F19*G19</x:f>
        <x:v>277.425</x:v>
      </x:c>
      <x:c r="E19" s="29" t="s">
        <x:v>43</x:v>
      </x:c>
      <x:c r="F19" s="31">
        <x:v>1.37</x:v>
      </x:c>
      <x:c r="G19" s="32">
        <x:v>2</x:v>
      </x:c>
      <x:c r="H19" s="31" t="n">
        <x:f>0</x:f>
        <x:v>0</x:v>
      </x:c>
      <x:c r="I19" s="31" t="n">
        <x:f>0</x:f>
        <x:v>0</x:v>
      </x:c>
      <x:c r="J19" s="31" t="n">
        <x:f>D19</x:f>
        <x:v>277.425</x:v>
      </x:c>
      <x:c r="K19" s="44"/>
      <x:c r="L19" s="44"/>
      <x:c r="M19" s="44"/>
      <x:c r="N19" s="43"/>
      <x:c r="O19" s="44"/>
      <x:c r="P19" s="43"/>
      <x:c r="Q19" s="44"/>
      <x:c r="R19" s="44"/>
      <x:c r="S19" s="45"/>
      <x:c r="T19" s="44"/>
      <x:c r="U19" s="44"/>
      <x:c r="V19" s="44"/>
      <x:c r="W19" s="44"/>
      <x:c r="X19" s="44"/>
      <x:c r="Y19" s="44"/>
      <x:c r="Z19"/>
      <x:c r="AA19"/>
      <x:c r="AB19"/>
      <x:c r="AC19"/>
      <x:c r="AD19"/>
    </x:row>
    <x:row r="20" ht="30" customHeight="1">
      <x:c r="A20" s="5" t="s">
        <x:v>40</x:v>
      </x:c>
      <x:c r="B20" s="5" t="s">
        <x:v>52</x:v>
      </x:c>
      <x:c r="C20" s="5" t="s">
        <x:v>53</x:v>
      </x:c>
      <x:c r="D20" s="6" t="n">
        <x:f>D18*F20*G20</x:f>
        <x:v>277.425</x:v>
      </x:c>
      <x:c r="E20" s="5" t="s">
        <x:v>43</x:v>
      </x:c>
      <x:c r="F20" s="7">
        <x:v>1.37</x:v>
      </x:c>
      <x:c r="G20" s="8">
        <x:v>2</x:v>
      </x:c>
      <x:c r="H20" s="7" t="n">
        <x:f>0</x:f>
        <x:v>0</x:v>
      </x:c>
      <x:c r="I20" s="7" t="n">
        <x:f>0</x:f>
        <x:v>0</x:v>
      </x:c>
      <x:c r="J20" s="7" t="n">
        <x:f>D20</x:f>
        <x:v>277.425</x:v>
      </x:c>
      <x:c r="K20" s="44"/>
      <x:c r="L20" s="44"/>
      <x:c r="M20" s="44"/>
      <x:c r="N20" s="43"/>
      <x:c r="O20" s="44"/>
      <x:c r="P20" s="43"/>
      <x:c r="Q20" s="44"/>
      <x:c r="R20" s="44"/>
      <x:c r="S20" s="45"/>
      <x:c r="T20" s="44"/>
      <x:c r="U20" s="44"/>
      <x:c r="V20" s="44"/>
      <x:c r="W20" s="44"/>
      <x:c r="X20" s="44"/>
      <x:c r="Y20" s="44"/>
      <x:c r="Z20"/>
      <x:c r="AA20"/>
      <x:c r="AB20"/>
      <x:c r="AC20"/>
      <x:c r="AD20"/>
    </x:row>
    <x:row r="21" ht="30" customHeight="1">
      <x:c r="A21" s="29" t="s">
        <x:v>44</x:v>
      </x:c>
      <x:c r="B21" s="29" t="s">
        <x:v>54</x:v>
      </x:c>
      <x:c r="C21" s="29" t="s">
        <x:v>55</x:v>
      </x:c>
      <x:c r="D21" s="30" t="n">
        <x:f>D18*F21*G21</x:f>
        <x:v>277.425</x:v>
      </x:c>
      <x:c r="E21" s="29" t="s">
        <x:v>47</x:v>
      </x:c>
      <x:c r="F21" s="31">
        <x:v>1.37</x:v>
      </x:c>
      <x:c r="G21" s="32">
        <x:v>2</x:v>
      </x:c>
      <x:c r="H21" s="31" t="n">
        <x:f>0</x:f>
        <x:v>0</x:v>
      </x:c>
      <x:c r="I21" s="31" t="n">
        <x:f>D21</x:f>
        <x:v>277.425</x:v>
      </x:c>
      <x:c r="J21" s="31" t="n">
        <x:f>0</x:f>
        <x:v>0</x:v>
      </x:c>
      <x:c r="K21" s="44"/>
      <x:c r="L21" s="44"/>
      <x:c r="M21" s="44"/>
      <x:c r="N21" s="43"/>
      <x:c r="O21" s="44"/>
      <x:c r="P21" s="43"/>
      <x:c r="Q21" s="44"/>
      <x:c r="R21" s="44"/>
      <x:c r="S21" s="45"/>
      <x:c r="T21" s="44"/>
      <x:c r="U21" s="44"/>
      <x:c r="V21" s="44"/>
      <x:c r="W21" s="44"/>
      <x:c r="X21" s="44"/>
      <x:c r="Y21" s="44"/>
      <x:c r="Z21"/>
      <x:c r="AA21"/>
      <x:c r="AB21"/>
      <x:c r="AC21"/>
      <x:c r="AD21"/>
    </x:row>
    <x:row r="22" ht="42" customHeight="1">
      <x:c r="A22" s="25" t="s">
        <x:v>36</x:v>
      </x:c>
      <x:c r="B22" s="25" t="s">
        <x:v>58</x:v>
      </x:c>
      <x:c r="C22" s="25" t="s">
        <x:v>59</x:v>
      </x:c>
      <x:c r="D22" s="26">
        <x:v>135</x:v>
      </x:c>
      <x:c r="E22" s="25" t="s">
        <x:v>60</x:v>
      </x:c>
      <x:c r="F22" s="27"/>
      <x:c r="G22" s="28"/>
      <x:c r="H22" s="27" t="n">
        <x:f>SUM(H23,H24,H25,H26)</x:f>
        <x:v>0</x:v>
      </x:c>
      <x:c r="I22" s="27" t="n">
        <x:f>SUM(I23,I24,I25,I26)</x:f>
        <x:v>113.4</x:v>
      </x:c>
      <x:c r="J22" s="27" t="n">
        <x:f>SUM(J23,J24,J25,J26)</x:f>
        <x:v>113.4</x:v>
      </x:c>
      <x:c r="K22" s="44"/>
      <x:c r="L22" s="44"/>
      <x:c r="M22" s="44"/>
      <x:c r="N22" s="43"/>
      <x:c r="O22" s="44"/>
      <x:c r="P22" s="43"/>
      <x:c r="Q22" s="44"/>
      <x:c r="R22" s="44"/>
      <x:c r="S22" s="45"/>
      <x:c r="T22" s="44"/>
      <x:c r="U22" s="44"/>
      <x:c r="V22" s="44"/>
      <x:c r="W22" s="44"/>
      <x:c r="X22" s="44"/>
      <x:c r="Y22" s="44"/>
      <x:c r="Z22"/>
      <x:c r="AA22"/>
      <x:c r="AB22"/>
      <x:c r="AC22"/>
      <x:c r="AD22"/>
    </x:row>
    <x:row r="23" ht="30" customHeight="1">
      <x:c r="A23" s="29" t="s">
        <x:v>40</x:v>
      </x:c>
      <x:c r="B23" s="29" t="s">
        <x:v>41</x:v>
      </x:c>
      <x:c r="C23" s="29" t="s">
        <x:v>42</x:v>
      </x:c>
      <x:c r="D23" s="30" t="n">
        <x:f>D22*F23*G23</x:f>
        <x:v>67.5</x:v>
      </x:c>
      <x:c r="E23" s="29" t="s">
        <x:v>43</x:v>
      </x:c>
      <x:c r="F23" s="31">
        <x:v>0.5</x:v>
      </x:c>
      <x:c r="G23" s="32">
        <x:v>1</x:v>
      </x:c>
      <x:c r="H23" s="31" t="n">
        <x:f>0</x:f>
        <x:v>0</x:v>
      </x:c>
      <x:c r="I23" s="31" t="n">
        <x:f>0</x:f>
        <x:v>0</x:v>
      </x:c>
      <x:c r="J23" s="31" t="n">
        <x:f>D23</x:f>
        <x:v>67.5</x:v>
      </x:c>
      <x:c r="K23" s="44"/>
      <x:c r="L23" s="44"/>
      <x:c r="M23" s="44"/>
      <x:c r="N23" s="43"/>
      <x:c r="O23" s="44"/>
      <x:c r="P23" s="43"/>
      <x:c r="Q23" s="44"/>
      <x:c r="R23" s="44"/>
      <x:c r="S23" s="45"/>
      <x:c r="T23" s="44"/>
      <x:c r="U23" s="44"/>
      <x:c r="V23" s="44"/>
      <x:c r="W23" s="44"/>
      <x:c r="X23" s="44"/>
      <x:c r="Y23" s="44"/>
      <x:c r="Z23"/>
      <x:c r="AA23"/>
      <x:c r="AB23"/>
      <x:c r="AC23"/>
      <x:c r="AD23"/>
    </x:row>
    <x:row r="24" ht="30" customHeight="1">
      <x:c r="A24" s="5" t="s">
        <x:v>40</x:v>
      </x:c>
      <x:c r="B24" s="5" t="s">
        <x:v>61</x:v>
      </x:c>
      <x:c r="C24" s="5" t="s">
        <x:v>62</x:v>
      </x:c>
      <x:c r="D24" s="6" t="n">
        <x:f>D22*F24*G24</x:f>
        <x:v>45.900000000000006</x:v>
      </x:c>
      <x:c r="E24" s="5" t="s">
        <x:v>43</x:v>
      </x:c>
      <x:c r="F24" s="7">
        <x:v>0.34</x:v>
      </x:c>
      <x:c r="G24" s="8">
        <x:v>1</x:v>
      </x:c>
      <x:c r="H24" s="7" t="n">
        <x:f>0</x:f>
        <x:v>0</x:v>
      </x:c>
      <x:c r="I24" s="7" t="n">
        <x:f>0</x:f>
        <x:v>0</x:v>
      </x:c>
      <x:c r="J24" s="7" t="n">
        <x:f>D24</x:f>
        <x:v>45.900000000000006</x:v>
      </x:c>
      <x:c r="K24" s="44"/>
      <x:c r="L24" s="44"/>
      <x:c r="M24" s="44"/>
      <x:c r="N24" s="43"/>
      <x:c r="O24" s="44"/>
      <x:c r="P24" s="43"/>
      <x:c r="Q24" s="44"/>
      <x:c r="R24" s="44"/>
      <x:c r="S24" s="45"/>
      <x:c r="T24" s="44"/>
      <x:c r="U24" s="44"/>
      <x:c r="V24" s="44"/>
      <x:c r="W24" s="44"/>
      <x:c r="X24" s="44"/>
      <x:c r="Y24" s="44"/>
      <x:c r="Z24"/>
      <x:c r="AA24"/>
      <x:c r="AB24"/>
      <x:c r="AC24"/>
      <x:c r="AD24"/>
    </x:row>
    <x:row r="25" ht="30" customHeight="1">
      <x:c r="A25" s="29" t="s">
        <x:v>44</x:v>
      </x:c>
      <x:c r="B25" s="29" t="s">
        <x:v>45</x:v>
      </x:c>
      <x:c r="C25" s="29" t="s">
        <x:v>46</x:v>
      </x:c>
      <x:c r="D25" s="30" t="n">
        <x:f>D22*F25*G25</x:f>
        <x:v>67.5</x:v>
      </x:c>
      <x:c r="E25" s="29" t="s">
        <x:v>47</x:v>
      </x:c>
      <x:c r="F25" s="31">
        <x:v>0.5</x:v>
      </x:c>
      <x:c r="G25" s="32">
        <x:v>1</x:v>
      </x:c>
      <x:c r="H25" s="31" t="n">
        <x:f>0</x:f>
        <x:v>0</x:v>
      </x:c>
      <x:c r="I25" s="31" t="n">
        <x:f>D25</x:f>
        <x:v>67.5</x:v>
      </x:c>
      <x:c r="J25" s="31" t="n">
        <x:f>0</x:f>
        <x:v>0</x:v>
      </x:c>
      <x:c r="K25" s="44"/>
      <x:c r="L25" s="44"/>
      <x:c r="M25" s="44"/>
      <x:c r="N25" s="43"/>
      <x:c r="O25" s="44"/>
      <x:c r="P25" s="43"/>
      <x:c r="Q25" s="44"/>
      <x:c r="R25" s="44"/>
      <x:c r="S25" s="45"/>
      <x:c r="T25" s="44"/>
      <x:c r="U25" s="44"/>
      <x:c r="V25" s="44"/>
      <x:c r="W25" s="44"/>
      <x:c r="X25" s="44"/>
      <x:c r="Y25" s="44"/>
      <x:c r="Z25"/>
      <x:c r="AA25"/>
      <x:c r="AB25"/>
      <x:c r="AC25"/>
      <x:c r="AD25"/>
    </x:row>
    <x:row r="26" ht="30" customHeight="1">
      <x:c r="A26" s="5" t="s">
        <x:v>44</x:v>
      </x:c>
      <x:c r="B26" s="5" t="s">
        <x:v>45</x:v>
      </x:c>
      <x:c r="C26" s="5" t="s">
        <x:v>46</x:v>
      </x:c>
      <x:c r="D26" s="6" t="n">
        <x:f>D22*F26*G26</x:f>
        <x:v>45.900000000000006</x:v>
      </x:c>
      <x:c r="E26" s="5" t="s">
        <x:v>47</x:v>
      </x:c>
      <x:c r="F26" s="7">
        <x:v>0.34</x:v>
      </x:c>
      <x:c r="G26" s="8">
        <x:v>1</x:v>
      </x:c>
      <x:c r="H26" s="7" t="n">
        <x:f>0</x:f>
        <x:v>0</x:v>
      </x:c>
      <x:c r="I26" s="7" t="n">
        <x:f>D26</x:f>
        <x:v>45.900000000000006</x:v>
      </x:c>
      <x:c r="J26" s="7" t="n">
        <x:f>0</x:f>
        <x:v>0</x:v>
      </x:c>
      <x:c r="K26" s="44"/>
      <x:c r="L26" s="44"/>
      <x:c r="M26" s="44"/>
      <x:c r="N26" s="43"/>
      <x:c r="O26" s="44"/>
      <x:c r="P26" s="43"/>
      <x:c r="Q26" s="44"/>
      <x:c r="R26" s="44"/>
      <x:c r="S26" s="45"/>
      <x:c r="T26" s="44"/>
      <x:c r="U26" s="44"/>
      <x:c r="V26" s="44"/>
      <x:c r="W26" s="44"/>
      <x:c r="X26" s="44"/>
      <x:c r="Y26" s="44"/>
      <x:c r="Z26"/>
      <x:c r="AA26"/>
      <x:c r="AB26"/>
      <x:c r="AC26"/>
      <x:c r="AD26"/>
    </x:row>
    <x:row r="27" ht="30" customHeight="1">
      <x:c r="A27" s="25" t="s">
        <x:v>36</x:v>
      </x:c>
      <x:c r="B27" s="25" t="s">
        <x:v>63</x:v>
      </x:c>
      <x:c r="C27" s="25" t="s">
        <x:v>64</x:v>
      </x:c>
      <x:c r="D27" s="26">
        <x:v>2.16</x:v>
      </x:c>
      <x:c r="E27" s="25" t="s">
        <x:v>39</x:v>
      </x:c>
      <x:c r="F27" s="27"/>
      <x:c r="G27" s="28"/>
      <x:c r="H27" s="27" t="n">
        <x:f>SUM(H28,H29,H30,H31)</x:f>
        <x:v>30.045600000000004</x:v>
      </x:c>
      <x:c r="I27" s="27" t="n">
        <x:f>SUM(I28,I29,I30,I31)</x:f>
        <x:v>26.352</x:v>
      </x:c>
      <x:c r="J27" s="27" t="n">
        <x:f>SUM(J28,J29,J30,J31)</x:f>
        <x:v>26.352</x:v>
      </x:c>
      <x:c r="K27" s="44"/>
      <x:c r="L27" s="44"/>
      <x:c r="M27" s="44"/>
      <x:c r="N27" s="43"/>
      <x:c r="O27" s="44"/>
      <x:c r="P27" s="43"/>
      <x:c r="Q27" s="44"/>
      <x:c r="R27" s="44"/>
      <x:c r="S27" s="45"/>
      <x:c r="T27" s="44"/>
      <x:c r="U27" s="44"/>
      <x:c r="V27" s="44"/>
      <x:c r="W27" s="44"/>
      <x:c r="X27" s="44"/>
      <x:c r="Y27" s="44"/>
      <x:c r="Z27"/>
      <x:c r="AA27"/>
      <x:c r="AB27"/>
      <x:c r="AC27"/>
      <x:c r="AD27"/>
    </x:row>
    <x:row r="28" ht="30" customHeight="1">
      <x:c r="A28" s="5" t="s">
        <x:v>65</x:v>
      </x:c>
      <x:c r="B28" s="5" t="s">
        <x:v>66</x:v>
      </x:c>
      <x:c r="C28" s="5" t="s">
        <x:v>67</x:v>
      </x:c>
      <x:c r="D28" s="6" t="n">
        <x:f>D27*F28*G28</x:f>
        <x:v>216</x:v>
      </x:c>
      <x:c r="E28" s="5" t="s">
        <x:v>68</x:v>
      </x:c>
      <x:c r="F28" s="7">
        <x:v>100</x:v>
      </x:c>
      <x:c r="G28" s="8">
        <x:v>1</x:v>
      </x:c>
      <x:c r="H28" s="7" t="n">
        <x:f>0</x:f>
        <x:v>0</x:v>
      </x:c>
      <x:c r="I28" s="7" t="n">
        <x:f>0</x:f>
        <x:v>0</x:v>
      </x:c>
      <x:c r="J28" s="7" t="n">
        <x:f>0</x:f>
        <x:v>0</x:v>
      </x:c>
      <x:c r="K28" s="44"/>
      <x:c r="L28" s="44"/>
      <x:c r="M28" s="44"/>
      <x:c r="N28" s="43"/>
      <x:c r="O28" s="44"/>
      <x:c r="P28" s="43"/>
      <x:c r="Q28" s="44"/>
      <x:c r="R28" s="44"/>
      <x:c r="S28" s="45"/>
      <x:c r="T28" s="44"/>
      <x:c r="U28" s="44"/>
      <x:c r="V28" s="44"/>
      <x:c r="W28" s="44"/>
      <x:c r="X28" s="44"/>
      <x:c r="Y28" s="44"/>
      <x:c r="Z28"/>
      <x:c r="AA28"/>
      <x:c r="AB28"/>
      <x:c r="AC28"/>
      <x:c r="AD28"/>
    </x:row>
    <x:row r="29" ht="30" customHeight="1">
      <x:c r="A29" s="29" t="s">
        <x:v>40</x:v>
      </x:c>
      <x:c r="B29" s="29" t="s">
        <x:v>69</x:v>
      </x:c>
      <x:c r="C29" s="29" t="s">
        <x:v>70</x:v>
      </x:c>
      <x:c r="D29" s="30" t="n">
        <x:f>D27*F29*G29</x:f>
        <x:v>26.352</x:v>
      </x:c>
      <x:c r="E29" s="29" t="s">
        <x:v>43</x:v>
      </x:c>
      <x:c r="F29" s="31">
        <x:v>12.2</x:v>
      </x:c>
      <x:c r="G29" s="32">
        <x:v>1</x:v>
      </x:c>
      <x:c r="H29" s="31" t="n">
        <x:f>0</x:f>
        <x:v>0</x:v>
      </x:c>
      <x:c r="I29" s="31" t="n">
        <x:f>0</x:f>
        <x:v>0</x:v>
      </x:c>
      <x:c r="J29" s="31" t="n">
        <x:f>D29</x:f>
        <x:v>26.352</x:v>
      </x:c>
      <x:c r="K29" s="44"/>
      <x:c r="L29" s="44"/>
      <x:c r="M29" s="44"/>
      <x:c r="N29" s="43"/>
      <x:c r="O29" s="44"/>
      <x:c r="P29" s="43"/>
      <x:c r="Q29" s="44"/>
      <x:c r="R29" s="44"/>
      <x:c r="S29" s="45"/>
      <x:c r="T29" s="44"/>
      <x:c r="U29" s="44"/>
      <x:c r="V29" s="44"/>
      <x:c r="W29" s="44"/>
      <x:c r="X29" s="44"/>
      <x:c r="Y29" s="44"/>
      <x:c r="Z29"/>
      <x:c r="AA29"/>
      <x:c r="AB29"/>
      <x:c r="AC29"/>
      <x:c r="AD29"/>
    </x:row>
    <x:row r="30" ht="30" customHeight="1">
      <x:c r="A30" s="5" t="s">
        <x:v>71</x:v>
      </x:c>
      <x:c r="B30" s="5" t="s">
        <x:v>72</x:v>
      </x:c>
      <x:c r="C30" s="5" t="s">
        <x:v>73</x:v>
      </x:c>
      <x:c r="D30" s="6" t="n">
        <x:f>D27*F30*G30</x:f>
        <x:v>30.045600000000004</x:v>
      </x:c>
      <x:c r="E30" s="5" t="s">
        <x:v>47</x:v>
      </x:c>
      <x:c r="F30" s="7">
        <x:v>13.91</x:v>
      </x:c>
      <x:c r="G30" s="8">
        <x:v>1</x:v>
      </x:c>
      <x:c r="H30" s="7" t="n">
        <x:f>D30</x:f>
        <x:v>30.045600000000004</x:v>
      </x:c>
      <x:c r="I30" s="7" t="n">
        <x:f>0</x:f>
        <x:v>0</x:v>
      </x:c>
      <x:c r="J30" s="7" t="n">
        <x:f>0</x:f>
        <x:v>0</x:v>
      </x:c>
      <x:c r="K30" s="44"/>
      <x:c r="L30" s="44"/>
      <x:c r="M30" s="44"/>
      <x:c r="N30" s="43"/>
      <x:c r="O30" s="44"/>
      <x:c r="P30" s="43"/>
      <x:c r="Q30" s="44"/>
      <x:c r="R30" s="44"/>
      <x:c r="S30" s="45"/>
      <x:c r="T30" s="44"/>
      <x:c r="U30" s="44"/>
      <x:c r="V30" s="44"/>
      <x:c r="W30" s="44"/>
      <x:c r="X30" s="44"/>
      <x:c r="Y30" s="44"/>
      <x:c r="Z30"/>
      <x:c r="AA30"/>
      <x:c r="AB30"/>
      <x:c r="AC30"/>
      <x:c r="AD30"/>
    </x:row>
    <x:row r="31" ht="30" customHeight="1">
      <x:c r="A31" s="29" t="s">
        <x:v>44</x:v>
      </x:c>
      <x:c r="B31" s="29" t="s">
        <x:v>74</x:v>
      </x:c>
      <x:c r="C31" s="29" t="s">
        <x:v>75</x:v>
      </x:c>
      <x:c r="D31" s="30" t="n">
        <x:f>D27*F31*G31</x:f>
        <x:v>26.352</x:v>
      </x:c>
      <x:c r="E31" s="29" t="s">
        <x:v>47</x:v>
      </x:c>
      <x:c r="F31" s="31">
        <x:v>12.2</x:v>
      </x:c>
      <x:c r="G31" s="32">
        <x:v>1</x:v>
      </x:c>
      <x:c r="H31" s="31" t="n">
        <x:f>0</x:f>
        <x:v>0</x:v>
      </x:c>
      <x:c r="I31" s="31" t="n">
        <x:f>D31</x:f>
        <x:v>26.352</x:v>
      </x:c>
      <x:c r="J31" s="31" t="n">
        <x:f>0</x:f>
        <x:v>0</x:v>
      </x:c>
      <x:c r="K31" s="44"/>
      <x:c r="L31" s="44"/>
      <x:c r="M31" s="44"/>
      <x:c r="N31" s="43"/>
      <x:c r="O31" s="44"/>
      <x:c r="P31" s="43"/>
      <x:c r="Q31" s="44"/>
      <x:c r="R31" s="44"/>
      <x:c r="S31" s="45"/>
      <x:c r="T31" s="44"/>
      <x:c r="U31" s="44"/>
      <x:c r="V31" s="44"/>
      <x:c r="W31" s="44"/>
      <x:c r="X31" s="44"/>
      <x:c r="Y31" s="44"/>
      <x:c r="Z31"/>
      <x:c r="AA31"/>
      <x:c r="AB31"/>
      <x:c r="AC31"/>
      <x:c r="AD31"/>
    </x:row>
    <x:row r="32" ht="42" customHeight="1">
      <x:c r="A32" s="33" t="s">
        <x:v>76</x:v>
      </x:c>
      <x:c r="B32" s="33" t="s">
        <x:v>77</x:v>
      </x:c>
      <x:c r="C32" s="33" t="s">
        <x:v>78</x:v>
      </x:c>
      <x:c r="D32" s="34">
        <x:v>2160</x:v>
      </x:c>
      <x:c r="E32" s="33" t="s">
        <x:v>68</x:v>
      </x:c>
      <x:c r="F32" s="35"/>
      <x:c r="G32" s="36"/>
      <x:c r="H32" s="35"/>
      <x:c r="I32" s="35"/>
      <x:c r="J32" s="35"/>
      <x:c r="K32" s="44"/>
      <x:c r="L32" s="44"/>
      <x:c r="M32" s="44"/>
      <x:c r="N32" s="43"/>
      <x:c r="O32" s="44"/>
      <x:c r="P32" s="43"/>
      <x:c r="Q32" s="44"/>
      <x:c r="R32" s="44"/>
      <x:c r="S32" s="45"/>
      <x:c r="T32" s="44"/>
      <x:c r="U32" s="44"/>
      <x:c r="V32" s="44"/>
      <x:c r="W32" s="44"/>
      <x:c r="X32" s="44"/>
      <x:c r="Y32" s="44"/>
      <x:c r="Z32"/>
      <x:c r="AA32"/>
      <x:c r="AB32"/>
      <x:c r="AC32"/>
      <x:c r="AD32"/>
    </x:row>
    <x:row r="33" ht="30" customHeight="1">
      <x:c r="A33" s="17" t="s">
        <x:v>30</x:v>
      </x:c>
      <x:c r="B33" s="17" t="s">
        <x:v>79</x:v>
      </x:c>
      <x:c r="C33" s="17" t="s">
        <x:v>79</x:v>
      </x:c>
      <x:c r="D33" s="18"/>
      <x:c r="E33" s="17"/>
      <x:c r="F33" s="19"/>
      <x:c r="G33" s="20"/>
      <x:c r="H33" s="19" t="n">
        <x:f>SUM(H34)</x:f>
        <x:v>624.1878798854393</x:v>
      </x:c>
      <x:c r="I33" s="19" t="n">
        <x:f>SUM(I34)</x:f>
        <x:v>1731.8042378157543</x:v>
      </x:c>
      <x:c r="J33" s="19" t="n">
        <x:f>SUM(J34)</x:f>
        <x:v>1731.8042378157543</x:v>
      </x:c>
      <x:c r="K33" s="44"/>
      <x:c r="L33" s="44"/>
      <x:c r="M33" s="44"/>
      <x:c r="N33" s="43"/>
      <x:c r="O33" s="44"/>
      <x:c r="P33" s="43"/>
      <x:c r="Q33" s="44"/>
      <x:c r="R33" s="44"/>
      <x:c r="S33" s="45"/>
      <x:c r="T33" s="44"/>
      <x:c r="U33" s="44"/>
      <x:c r="V33" s="44"/>
      <x:c r="W33" s="44"/>
      <x:c r="X33" s="44"/>
      <x:c r="Y33" s="44"/>
      <x:c r="Z33"/>
      <x:c r="AA33"/>
      <x:c r="AB33"/>
      <x:c r="AC33"/>
      <x:c r="AD33"/>
    </x:row>
    <x:row r="34" ht="30" customHeight="1">
      <x:c r="A34" s="21" t="s">
        <x:v>32</x:v>
      </x:c>
      <x:c r="B34" s="21" t="s">
        <x:v>80</x:v>
      </x:c>
      <x:c r="C34" s="21" t="s">
        <x:v>81</x:v>
      </x:c>
      <x:c r="D34" s="22">
        <x:v>148470</x:v>
      </x:c>
      <x:c r="E34" s="21" t="s">
        <x:v>68</x:v>
      </x:c>
      <x:c r="F34" s="23"/>
      <x:c r="G34" s="24"/>
      <x:c r="H34" s="23" t="n">
        <x:f>SUM(H35,H42,H49)</x:f>
        <x:v>624.1878798854393</x:v>
      </x:c>
      <x:c r="I34" s="23" t="n">
        <x:f>SUM(I35,I42,I49)</x:f>
        <x:v>1731.8042378157543</x:v>
      </x:c>
      <x:c r="J34" s="23" t="n">
        <x:f>SUM(J35,J42,J49)</x:f>
        <x:v>1731.8042378157543</x:v>
      </x:c>
      <x:c r="K34" s="44"/>
      <x:c r="L34" s="44"/>
      <x:c r="M34" s="44"/>
      <x:c r="N34" s="43"/>
      <x:c r="O34" s="44"/>
      <x:c r="P34" s="43"/>
      <x:c r="Q34" s="44"/>
      <x:c r="R34" s="44"/>
      <x:c r="S34" s="45"/>
      <x:c r="T34" s="44"/>
      <x:c r="U34" s="44"/>
      <x:c r="V34" s="44"/>
      <x:c r="W34" s="44"/>
      <x:c r="X34" s="44"/>
      <x:c r="Y34" s="44"/>
      <x:c r="Z34"/>
      <x:c r="AA34"/>
      <x:c r="AB34"/>
      <x:c r="AC34"/>
      <x:c r="AD34"/>
    </x:row>
    <x:row r="35" ht="57.95000076293945" customHeight="1">
      <x:c r="A35" s="25" t="s">
        <x:v>36</x:v>
      </x:c>
      <x:c r="B35" s="25" t="s">
        <x:v>82</x:v>
      </x:c>
      <x:c r="C35" s="25" t="s">
        <x:v>83</x:v>
      </x:c>
      <x:c r="D35" s="26">
        <x:v>116.65173615472787</x:v>
      </x:c>
      <x:c r="E35" s="25" t="s">
        <x:v>39</x:v>
      </x:c>
      <x:c r="F35" s="27"/>
      <x:c r="G35" s="28"/>
      <x:c r="H35" s="27" t="n">
        <x:f>SUM(H36,H37,H38,H39,H40,H41)</x:f>
        <x:v>488.7707744883098</x:v>
      </x:c>
      <x:c r="I35" s="27" t="n">
        <x:f>SUM(I36,I37,I38,I39,I40,I41)</x:f>
        <x:v>1354.3266567563908</x:v>
      </x:c>
      <x:c r="J35" s="27" t="n">
        <x:f>SUM(J36,J37,J38,J39,J40,J41)</x:f>
        <x:v>1354.3266567563908</x:v>
      </x:c>
      <x:c r="K35" s="44"/>
      <x:c r="L35" s="44"/>
      <x:c r="M35" s="44"/>
      <x:c r="N35" s="43"/>
      <x:c r="O35" s="44"/>
      <x:c r="P35" s="43"/>
      <x:c r="Q35" s="44"/>
      <x:c r="R35" s="44"/>
      <x:c r="S35" s="45"/>
      <x:c r="T35" s="44"/>
      <x:c r="U35" s="44"/>
      <x:c r="V35" s="44"/>
      <x:c r="W35" s="44"/>
      <x:c r="X35" s="44"/>
      <x:c r="Y35" s="44"/>
      <x:c r="Z35"/>
      <x:c r="AA35"/>
      <x:c r="AB35"/>
      <x:c r="AC35"/>
      <x:c r="AD35"/>
    </x:row>
    <x:row r="36" ht="42" customHeight="1">
      <x:c r="A36" s="5" t="s">
        <x:v>65</x:v>
      </x:c>
      <x:c r="B36" s="5" t="s">
        <x:v>84</x:v>
      </x:c>
      <x:c r="C36" s="5" t="s">
        <x:v>85</x:v>
      </x:c>
      <x:c r="D36" s="6" t="n">
        <x:f>D35*F36*G36</x:f>
        <x:v>2.3330347230945576</x:v>
      </x:c>
      <x:c r="E36" s="5" t="s">
        <x:v>68</x:v>
      </x:c>
      <x:c r="F36" s="7">
        <x:v>0.02</x:v>
      </x:c>
      <x:c r="G36" s="8">
        <x:v>1</x:v>
      </x:c>
      <x:c r="H36" s="7" t="n">
        <x:f>0</x:f>
        <x:v>0</x:v>
      </x:c>
      <x:c r="I36" s="7" t="n">
        <x:f>0</x:f>
        <x:v>0</x:v>
      </x:c>
      <x:c r="J36" s="7" t="n">
        <x:f>0</x:f>
        <x:v>0</x:v>
      </x:c>
      <x:c r="K36" s="44"/>
      <x:c r="L36" s="44"/>
      <x:c r="M36" s="44"/>
      <x:c r="N36" s="43"/>
      <x:c r="O36" s="44"/>
      <x:c r="P36" s="43"/>
      <x:c r="Q36" s="44"/>
      <x:c r="R36" s="44"/>
      <x:c r="S36" s="45"/>
      <x:c r="T36" s="44"/>
      <x:c r="U36" s="44"/>
      <x:c r="V36" s="44"/>
      <x:c r="W36" s="44"/>
      <x:c r="X36" s="44"/>
      <x:c r="Y36" s="44"/>
      <x:c r="Z36"/>
      <x:c r="AA36"/>
      <x:c r="AB36"/>
      <x:c r="AC36"/>
      <x:c r="AD36"/>
    </x:row>
    <x:row r="37" ht="30" customHeight="1">
      <x:c r="A37" s="29" t="s">
        <x:v>40</x:v>
      </x:c>
      <x:c r="B37" s="29" t="s">
        <x:v>41</x:v>
      </x:c>
      <x:c r="C37" s="29" t="s">
        <x:v>42</x:v>
      </x:c>
      <x:c r="D37" s="30" t="n">
        <x:f>D35*F37*G37</x:f>
        <x:v>338.29003484871083</x:v>
      </x:c>
      <x:c r="E37" s="29" t="s">
        <x:v>43</x:v>
      </x:c>
      <x:c r="F37" s="31">
        <x:v>2.9</x:v>
      </x:c>
      <x:c r="G37" s="32">
        <x:v>1</x:v>
      </x:c>
      <x:c r="H37" s="31" t="n">
        <x:f>0</x:f>
        <x:v>0</x:v>
      </x:c>
      <x:c r="I37" s="31" t="n">
        <x:f>0</x:f>
        <x:v>0</x:v>
      </x:c>
      <x:c r="J37" s="31" t="n">
        <x:f>D37</x:f>
        <x:v>338.29003484871083</x:v>
      </x:c>
      <x:c r="K37" s="44"/>
      <x:c r="L37" s="44"/>
      <x:c r="M37" s="44"/>
      <x:c r="N37" s="43"/>
      <x:c r="O37" s="44"/>
      <x:c r="P37" s="43"/>
      <x:c r="Q37" s="44"/>
      <x:c r="R37" s="44"/>
      <x:c r="S37" s="45"/>
      <x:c r="T37" s="44"/>
      <x:c r="U37" s="44"/>
      <x:c r="V37" s="44"/>
      <x:c r="W37" s="44"/>
      <x:c r="X37" s="44"/>
      <x:c r="Y37" s="44"/>
      <x:c r="Z37"/>
      <x:c r="AA37"/>
      <x:c r="AB37"/>
      <x:c r="AC37"/>
      <x:c r="AD37"/>
    </x:row>
    <x:row r="38" ht="42" customHeight="1">
      <x:c r="A38" s="5" t="s">
        <x:v>40</x:v>
      </x:c>
      <x:c r="B38" s="5" t="s">
        <x:v>86</x:v>
      </x:c>
      <x:c r="C38" s="5" t="s">
        <x:v>87</x:v>
      </x:c>
      <x:c r="D38" s="6" t="n">
        <x:f>D35*F38*G38</x:f>
        <x:v>1016.0366219076799</x:v>
      </x:c>
      <x:c r="E38" s="5" t="s">
        <x:v>43</x:v>
      </x:c>
      <x:c r="F38" s="7">
        <x:v>8.7100000000000009</x:v>
      </x:c>
      <x:c r="G38" s="8">
        <x:v>1</x:v>
      </x:c>
      <x:c r="H38" s="7" t="n">
        <x:f>0</x:f>
        <x:v>0</x:v>
      </x:c>
      <x:c r="I38" s="7" t="n">
        <x:f>0</x:f>
        <x:v>0</x:v>
      </x:c>
      <x:c r="J38" s="7" t="n">
        <x:f>D38</x:f>
        <x:v>1016.0366219076799</x:v>
      </x:c>
      <x:c r="K38" s="44"/>
      <x:c r="L38" s="44"/>
      <x:c r="M38" s="44"/>
      <x:c r="N38" s="43"/>
      <x:c r="O38" s="44"/>
      <x:c r="P38" s="43"/>
      <x:c r="Q38" s="44"/>
      <x:c r="R38" s="44"/>
      <x:c r="S38" s="45"/>
      <x:c r="T38" s="44"/>
      <x:c r="U38" s="44"/>
      <x:c r="V38" s="44"/>
      <x:c r="W38" s="44"/>
      <x:c r="X38" s="44"/>
      <x:c r="Y38" s="44"/>
      <x:c r="Z38"/>
      <x:c r="AA38"/>
      <x:c r="AB38"/>
      <x:c r="AC38"/>
      <x:c r="AD38"/>
    </x:row>
    <x:row r="39" ht="30" customHeight="1">
      <x:c r="A39" s="29" t="s">
        <x:v>71</x:v>
      </x:c>
      <x:c r="B39" s="29" t="s">
        <x:v>88</x:v>
      </x:c>
      <x:c r="C39" s="29" t="s">
        <x:v>89</x:v>
      </x:c>
      <x:c r="D39" s="30" t="n">
        <x:f>D35*F39*G39</x:f>
        <x:v>488.7707744883098</x:v>
      </x:c>
      <x:c r="E39" s="29" t="s">
        <x:v>47</x:v>
      </x:c>
      <x:c r="F39" s="31">
        <x:v>4.1900000000000004</x:v>
      </x:c>
      <x:c r="G39" s="32">
        <x:v>1</x:v>
      </x:c>
      <x:c r="H39" s="31" t="n">
        <x:f>D39</x:f>
        <x:v>488.7707744883098</x:v>
      </x:c>
      <x:c r="I39" s="31" t="n">
        <x:f>0</x:f>
        <x:v>0</x:v>
      </x:c>
      <x:c r="J39" s="31" t="n">
        <x:f>0</x:f>
        <x:v>0</x:v>
      </x:c>
      <x:c r="K39" s="44"/>
      <x:c r="L39" s="44"/>
      <x:c r="M39" s="44"/>
      <x:c r="N39" s="43"/>
      <x:c r="O39" s="44"/>
      <x:c r="P39" s="43"/>
      <x:c r="Q39" s="44"/>
      <x:c r="R39" s="44"/>
      <x:c r="S39" s="45"/>
      <x:c r="T39" s="44"/>
      <x:c r="U39" s="44"/>
      <x:c r="V39" s="44"/>
      <x:c r="W39" s="44"/>
      <x:c r="X39" s="44"/>
      <x:c r="Y39" s="44"/>
      <x:c r="Z39"/>
      <x:c r="AA39"/>
      <x:c r="AB39"/>
      <x:c r="AC39"/>
      <x:c r="AD39"/>
    </x:row>
    <x:row r="40" ht="30" customHeight="1">
      <x:c r="A40" s="5" t="s">
        <x:v>44</x:v>
      </x:c>
      <x:c r="B40" s="5" t="s">
        <x:v>45</x:v>
      </x:c>
      <x:c r="C40" s="5" t="s">
        <x:v>46</x:v>
      </x:c>
      <x:c r="D40" s="6" t="n">
        <x:f>D35*F40*G40</x:f>
        <x:v>338.29003484871083</x:v>
      </x:c>
      <x:c r="E40" s="5" t="s">
        <x:v>47</x:v>
      </x:c>
      <x:c r="F40" s="7">
        <x:v>2.9</x:v>
      </x:c>
      <x:c r="G40" s="8">
        <x:v>1</x:v>
      </x:c>
      <x:c r="H40" s="7" t="n">
        <x:f>0</x:f>
        <x:v>0</x:v>
      </x:c>
      <x:c r="I40" s="7" t="n">
        <x:f>D40</x:f>
        <x:v>338.29003484871083</x:v>
      </x:c>
      <x:c r="J40" s="7" t="n">
        <x:f>0</x:f>
        <x:v>0</x:v>
      </x:c>
      <x:c r="K40" s="44"/>
      <x:c r="L40" s="44"/>
      <x:c r="M40" s="44"/>
      <x:c r="N40" s="43"/>
      <x:c r="O40" s="44"/>
      <x:c r="P40" s="43"/>
      <x:c r="Q40" s="44"/>
      <x:c r="R40" s="44"/>
      <x:c r="S40" s="45"/>
      <x:c r="T40" s="44"/>
      <x:c r="U40" s="44"/>
      <x:c r="V40" s="44"/>
      <x:c r="W40" s="44"/>
      <x:c r="X40" s="44"/>
      <x:c r="Y40" s="44"/>
      <x:c r="Z40"/>
      <x:c r="AA40"/>
      <x:c r="AB40"/>
      <x:c r="AC40"/>
      <x:c r="AD40"/>
    </x:row>
    <x:row r="41" ht="30" customHeight="1">
      <x:c r="A41" s="29" t="s">
        <x:v>44</x:v>
      </x:c>
      <x:c r="B41" s="29" t="s">
        <x:v>90</x:v>
      </x:c>
      <x:c r="C41" s="29" t="s">
        <x:v>91</x:v>
      </x:c>
      <x:c r="D41" s="30" t="n">
        <x:f>D35*F41*G41</x:f>
        <x:v>1016.0366219076799</x:v>
      </x:c>
      <x:c r="E41" s="29" t="s">
        <x:v>47</x:v>
      </x:c>
      <x:c r="F41" s="31">
        <x:v>8.7100000000000009</x:v>
      </x:c>
      <x:c r="G41" s="32">
        <x:v>1</x:v>
      </x:c>
      <x:c r="H41" s="31" t="n">
        <x:f>0</x:f>
        <x:v>0</x:v>
      </x:c>
      <x:c r="I41" s="31" t="n">
        <x:f>D41</x:f>
        <x:v>1016.0366219076799</x:v>
      </x:c>
      <x:c r="J41" s="31" t="n">
        <x:f>0</x:f>
        <x:v>0</x:v>
      </x:c>
      <x:c r="K41" s="44"/>
      <x:c r="L41" s="44"/>
      <x:c r="M41" s="44"/>
      <x:c r="N41" s="43"/>
      <x:c r="O41" s="44"/>
      <x:c r="P41" s="43"/>
      <x:c r="Q41" s="44"/>
      <x:c r="R41" s="44"/>
      <x:c r="S41" s="45"/>
      <x:c r="T41" s="44"/>
      <x:c r="U41" s="44"/>
      <x:c r="V41" s="44"/>
      <x:c r="W41" s="44"/>
      <x:c r="X41" s="44"/>
      <x:c r="Y41" s="44"/>
      <x:c r="Z41"/>
      <x:c r="AA41"/>
      <x:c r="AB41"/>
      <x:c r="AC41"/>
      <x:c r="AD41"/>
    </x:row>
    <x:row r="42" ht="57.95000076293945" customHeight="1">
      <x:c r="A42" s="25" t="s">
        <x:v>36</x:v>
      </x:c>
      <x:c r="B42" s="25" t="s">
        <x:v>92</x:v>
      </x:c>
      <x:c r="C42" s="25" t="s">
        <x:v>93</x:v>
      </x:c>
      <x:c r="D42" s="26">
        <x:v>31.713607821341807</x:v>
      </x:c>
      <x:c r="E42" s="25" t="s">
        <x:v>39</x:v>
      </x:c>
      <x:c r="F42" s="27"/>
      <x:c r="G42" s="28"/>
      <x:c r="H42" s="27" t="n">
        <x:f>SUM(H43,H44,H45,H46,H47,H48)</x:f>
        <x:v>135.4171053971295</x:v>
      </x:c>
      <x:c r="I42" s="27" t="n">
        <x:f>SUM(I43,I44,I45,I46,I47,I48)</x:f>
        <x:v>375.489116604687</x:v>
      </x:c>
      <x:c r="J42" s="27" t="n">
        <x:f>SUM(J43,J44,J45,J46,J47,J48)</x:f>
        <x:v>375.489116604687</x:v>
      </x:c>
      <x:c r="K42" s="44"/>
      <x:c r="L42" s="44"/>
      <x:c r="M42" s="44"/>
      <x:c r="N42" s="43"/>
      <x:c r="O42" s="44"/>
      <x:c r="P42" s="43"/>
      <x:c r="Q42" s="44"/>
      <x:c r="R42" s="44"/>
      <x:c r="S42" s="45"/>
      <x:c r="T42" s="44"/>
      <x:c r="U42" s="44"/>
      <x:c r="V42" s="44"/>
      <x:c r="W42" s="44"/>
      <x:c r="X42" s="44"/>
      <x:c r="Y42" s="44"/>
      <x:c r="Z42"/>
      <x:c r="AA42"/>
      <x:c r="AB42"/>
      <x:c r="AC42"/>
      <x:c r="AD42"/>
    </x:row>
    <x:row r="43" ht="42" customHeight="1">
      <x:c r="A43" s="29" t="s">
        <x:v>65</x:v>
      </x:c>
      <x:c r="B43" s="29" t="s">
        <x:v>84</x:v>
      </x:c>
      <x:c r="C43" s="29" t="s">
        <x:v>85</x:v>
      </x:c>
      <x:c r="D43" s="30" t="n">
        <x:f>D42*F43*G43</x:f>
        <x:v>0.9514082346402541</x:v>
      </x:c>
      <x:c r="E43" s="29" t="s">
        <x:v>68</x:v>
      </x:c>
      <x:c r="F43" s="31">
        <x:v>0.03</x:v>
      </x:c>
      <x:c r="G43" s="32">
        <x:v>1</x:v>
      </x:c>
      <x:c r="H43" s="31" t="n">
        <x:f>0</x:f>
        <x:v>0</x:v>
      </x:c>
      <x:c r="I43" s="31" t="n">
        <x:f>0</x:f>
        <x:v>0</x:v>
      </x:c>
      <x:c r="J43" s="31" t="n">
        <x:f>0</x:f>
        <x:v>0</x:v>
      </x:c>
      <x:c r="K43" s="44"/>
      <x:c r="L43" s="44"/>
      <x:c r="M43" s="44"/>
      <x:c r="N43" s="43"/>
      <x:c r="O43" s="44"/>
      <x:c r="P43" s="43"/>
      <x:c r="Q43" s="44"/>
      <x:c r="R43" s="44"/>
      <x:c r="S43" s="45"/>
      <x:c r="T43" s="44"/>
      <x:c r="U43" s="44"/>
      <x:c r="V43" s="44"/>
      <x:c r="W43" s="44"/>
      <x:c r="X43" s="44"/>
      <x:c r="Y43" s="44"/>
      <x:c r="Z43"/>
      <x:c r="AA43"/>
      <x:c r="AB43"/>
      <x:c r="AC43"/>
      <x:c r="AD43"/>
    </x:row>
    <x:row r="44" ht="30" customHeight="1">
      <x:c r="A44" s="5" t="s">
        <x:v>40</x:v>
      </x:c>
      <x:c r="B44" s="5" t="s">
        <x:v>41</x:v>
      </x:c>
      <x:c r="C44" s="5" t="s">
        <x:v>42</x:v>
      </x:c>
      <x:c r="D44" s="6" t="n">
        <x:f>D42*F44*G44</x:f>
        <x:v>93.87227915117175</x:v>
      </x:c>
      <x:c r="E44" s="5" t="s">
        <x:v>43</x:v>
      </x:c>
      <x:c r="F44" s="7">
        <x:v>2.96</x:v>
      </x:c>
      <x:c r="G44" s="8">
        <x:v>1</x:v>
      </x:c>
      <x:c r="H44" s="7" t="n">
        <x:f>0</x:f>
        <x:v>0</x:v>
      </x:c>
      <x:c r="I44" s="7" t="n">
        <x:f>0</x:f>
        <x:v>0</x:v>
      </x:c>
      <x:c r="J44" s="7" t="n">
        <x:f>D44</x:f>
        <x:v>93.87227915117175</x:v>
      </x:c>
      <x:c r="K44" s="44"/>
      <x:c r="L44" s="44"/>
      <x:c r="M44" s="44"/>
      <x:c r="N44" s="43"/>
      <x:c r="O44" s="44"/>
      <x:c r="P44" s="43"/>
      <x:c r="Q44" s="44"/>
      <x:c r="R44" s="44"/>
      <x:c r="S44" s="45"/>
      <x:c r="T44" s="44"/>
      <x:c r="U44" s="44"/>
      <x:c r="V44" s="44"/>
      <x:c r="W44" s="44"/>
      <x:c r="X44" s="44"/>
      <x:c r="Y44" s="44"/>
      <x:c r="Z44"/>
      <x:c r="AA44"/>
      <x:c r="AB44"/>
      <x:c r="AC44"/>
      <x:c r="AD44"/>
    </x:row>
    <x:row r="45" ht="42" customHeight="1">
      <x:c r="A45" s="29" t="s">
        <x:v>40</x:v>
      </x:c>
      <x:c r="B45" s="29" t="s">
        <x:v>94</x:v>
      </x:c>
      <x:c r="C45" s="29" t="s">
        <x:v>95</x:v>
      </x:c>
      <x:c r="D45" s="30" t="n">
        <x:f>D42*F45*G45</x:f>
        <x:v>281.61683745351525</x:v>
      </x:c>
      <x:c r="E45" s="29" t="s">
        <x:v>43</x:v>
      </x:c>
      <x:c r="F45" s="31">
        <x:v>8.8800000000000008</x:v>
      </x:c>
      <x:c r="G45" s="32">
        <x:v>1</x:v>
      </x:c>
      <x:c r="H45" s="31" t="n">
        <x:f>0</x:f>
        <x:v>0</x:v>
      </x:c>
      <x:c r="I45" s="31" t="n">
        <x:f>0</x:f>
        <x:v>0</x:v>
      </x:c>
      <x:c r="J45" s="31" t="n">
        <x:f>D45</x:f>
        <x:v>281.61683745351525</x:v>
      </x:c>
      <x:c r="K45" s="44"/>
      <x:c r="L45" s="44"/>
      <x:c r="M45" s="44"/>
      <x:c r="N45" s="43"/>
      <x:c r="O45" s="44"/>
      <x:c r="P45" s="43"/>
      <x:c r="Q45" s="44"/>
      <x:c r="R45" s="44"/>
      <x:c r="S45" s="45"/>
      <x:c r="T45" s="44"/>
      <x:c r="U45" s="44"/>
      <x:c r="V45" s="44"/>
      <x:c r="W45" s="44"/>
      <x:c r="X45" s="44"/>
      <x:c r="Y45" s="44"/>
      <x:c r="Z45"/>
      <x:c r="AA45"/>
      <x:c r="AB45"/>
      <x:c r="AC45"/>
      <x:c r="AD45"/>
    </x:row>
    <x:row r="46" ht="30" customHeight="1">
      <x:c r="A46" s="5" t="s">
        <x:v>71</x:v>
      </x:c>
      <x:c r="B46" s="5" t="s">
        <x:v>88</x:v>
      </x:c>
      <x:c r="C46" s="5" t="s">
        <x:v>89</x:v>
      </x:c>
      <x:c r="D46" s="6" t="n">
        <x:f>D42*F46*G46</x:f>
        <x:v>135.4171053971295</x:v>
      </x:c>
      <x:c r="E46" s="5" t="s">
        <x:v>47</x:v>
      </x:c>
      <x:c r="F46" s="7">
        <x:v>4.2699999999999996</x:v>
      </x:c>
      <x:c r="G46" s="8">
        <x:v>1</x:v>
      </x:c>
      <x:c r="H46" s="7" t="n">
        <x:f>D46</x:f>
        <x:v>135.4171053971295</x:v>
      </x:c>
      <x:c r="I46" s="7" t="n">
        <x:f>0</x:f>
        <x:v>0</x:v>
      </x:c>
      <x:c r="J46" s="7" t="n">
        <x:f>0</x:f>
        <x:v>0</x:v>
      </x:c>
      <x:c r="K46" s="44"/>
      <x:c r="L46" s="44"/>
      <x:c r="M46" s="44"/>
      <x:c r="N46" s="43"/>
      <x:c r="O46" s="44"/>
      <x:c r="P46" s="43"/>
      <x:c r="Q46" s="44"/>
      <x:c r="R46" s="44"/>
      <x:c r="S46" s="45"/>
      <x:c r="T46" s="44"/>
      <x:c r="U46" s="44"/>
      <x:c r="V46" s="44"/>
      <x:c r="W46" s="44"/>
      <x:c r="X46" s="44"/>
      <x:c r="Y46" s="44"/>
      <x:c r="Z46"/>
      <x:c r="AA46"/>
      <x:c r="AB46"/>
      <x:c r="AC46"/>
      <x:c r="AD46"/>
    </x:row>
    <x:row r="47" ht="30" customHeight="1">
      <x:c r="A47" s="29" t="s">
        <x:v>44</x:v>
      </x:c>
      <x:c r="B47" s="29" t="s">
        <x:v>45</x:v>
      </x:c>
      <x:c r="C47" s="29" t="s">
        <x:v>46</x:v>
      </x:c>
      <x:c r="D47" s="30" t="n">
        <x:f>D42*F47*G47</x:f>
        <x:v>93.87227915117175</x:v>
      </x:c>
      <x:c r="E47" s="29" t="s">
        <x:v>47</x:v>
      </x:c>
      <x:c r="F47" s="31">
        <x:v>2.96</x:v>
      </x:c>
      <x:c r="G47" s="32">
        <x:v>1</x:v>
      </x:c>
      <x:c r="H47" s="31" t="n">
        <x:f>0</x:f>
        <x:v>0</x:v>
      </x:c>
      <x:c r="I47" s="31" t="n">
        <x:f>D47</x:f>
        <x:v>93.87227915117175</x:v>
      </x:c>
      <x:c r="J47" s="31" t="n">
        <x:f>0</x:f>
        <x:v>0</x:v>
      </x:c>
      <x:c r="K47" s="44"/>
      <x:c r="L47" s="44"/>
      <x:c r="M47" s="44"/>
      <x:c r="N47" s="43"/>
      <x:c r="O47" s="44"/>
      <x:c r="P47" s="43"/>
      <x:c r="Q47" s="44"/>
      <x:c r="R47" s="44"/>
      <x:c r="S47" s="45"/>
      <x:c r="T47" s="44"/>
      <x:c r="U47" s="44"/>
      <x:c r="V47" s="44"/>
      <x:c r="W47" s="44"/>
      <x:c r="X47" s="44"/>
      <x:c r="Y47" s="44"/>
      <x:c r="Z47"/>
      <x:c r="AA47"/>
      <x:c r="AB47"/>
      <x:c r="AC47"/>
      <x:c r="AD47"/>
    </x:row>
    <x:row r="48" ht="30" customHeight="1">
      <x:c r="A48" s="5" t="s">
        <x:v>44</x:v>
      </x:c>
      <x:c r="B48" s="5" t="s">
        <x:v>90</x:v>
      </x:c>
      <x:c r="C48" s="5" t="s">
        <x:v>91</x:v>
      </x:c>
      <x:c r="D48" s="6" t="n">
        <x:f>D42*F48*G48</x:f>
        <x:v>281.61683745351525</x:v>
      </x:c>
      <x:c r="E48" s="5" t="s">
        <x:v>47</x:v>
      </x:c>
      <x:c r="F48" s="7">
        <x:v>8.8800000000000008</x:v>
      </x:c>
      <x:c r="G48" s="8">
        <x:v>1</x:v>
      </x:c>
      <x:c r="H48" s="7" t="n">
        <x:f>0</x:f>
        <x:v>0</x:v>
      </x:c>
      <x:c r="I48" s="7" t="n">
        <x:f>D48</x:f>
        <x:v>281.61683745351525</x:v>
      </x:c>
      <x:c r="J48" s="7" t="n">
        <x:f>0</x:f>
        <x:v>0</x:v>
      </x:c>
      <x:c r="K48" s="44"/>
      <x:c r="L48" s="44"/>
      <x:c r="M48" s="44"/>
      <x:c r="N48" s="43"/>
      <x:c r="O48" s="44"/>
      <x:c r="P48" s="43"/>
      <x:c r="Q48" s="44"/>
      <x:c r="R48" s="44"/>
      <x:c r="S48" s="45"/>
      <x:c r="T48" s="44"/>
      <x:c r="U48" s="44"/>
      <x:c r="V48" s="44"/>
      <x:c r="W48" s="44"/>
      <x:c r="X48" s="44"/>
      <x:c r="Y48" s="44"/>
      <x:c r="Z48"/>
      <x:c r="AA48"/>
      <x:c r="AB48"/>
      <x:c r="AC48"/>
      <x:c r="AD48"/>
    </x:row>
    <x:row r="49" ht="57.95000076293945" customHeight="1">
      <x:c r="A49" s="25" t="s">
        <x:v>36</x:v>
      </x:c>
      <x:c r="B49" s="25" t="s">
        <x:v>96</x:v>
      </x:c>
      <x:c r="C49" s="25" t="s">
        <x:v>97</x:v>
      </x:c>
      <x:c r="D49" s="26">
        <x:v>0.10465602393034174</x:v>
      </x:c>
      <x:c r="E49" s="25" t="s">
        <x:v>39</x:v>
      </x:c>
      <x:c r="F49" s="27"/>
      <x:c r="G49" s="28"/>
      <x:c r="H49" s="27" t="n">
        <x:f>SUM(H50,H51)</x:f>
        <x:v>0</x:v>
      </x:c>
      <x:c r="I49" s="27" t="n">
        <x:f>SUM(I50,I51)</x:f>
        <x:v>1.988464454676493</x:v>
      </x:c>
      <x:c r="J49" s="27" t="n">
        <x:f>SUM(J50,J51)</x:f>
        <x:v>1.988464454676493</x:v>
      </x:c>
      <x:c r="K49" s="44"/>
      <x:c r="L49" s="44"/>
      <x:c r="M49" s="44"/>
      <x:c r="N49" s="43"/>
      <x:c r="O49" s="44"/>
      <x:c r="P49" s="43"/>
      <x:c r="Q49" s="44"/>
      <x:c r="R49" s="44"/>
      <x:c r="S49" s="45"/>
      <x:c r="T49" s="44"/>
      <x:c r="U49" s="44"/>
      <x:c r="V49" s="44"/>
      <x:c r="W49" s="44"/>
      <x:c r="X49" s="44"/>
      <x:c r="Y49" s="44"/>
      <x:c r="Z49"/>
      <x:c r="AA49"/>
      <x:c r="AB49"/>
      <x:c r="AC49"/>
      <x:c r="AD49"/>
    </x:row>
    <x:row r="50" ht="42" customHeight="1">
      <x:c r="A50" s="5" t="s">
        <x:v>40</x:v>
      </x:c>
      <x:c r="B50" s="5" t="s">
        <x:v>98</x:v>
      </x:c>
      <x:c r="C50" s="5" t="s">
        <x:v>99</x:v>
      </x:c>
      <x:c r="D50" s="6" t="n">
        <x:f>D49*F50*G50</x:f>
        <x:v>1.988464454676493</x:v>
      </x:c>
      <x:c r="E50" s="5" t="s">
        <x:v>43</x:v>
      </x:c>
      <x:c r="F50" s="7">
        <x:v>19</x:v>
      </x:c>
      <x:c r="G50" s="8">
        <x:v>1</x:v>
      </x:c>
      <x:c r="H50" s="7" t="n">
        <x:f>0</x:f>
        <x:v>0</x:v>
      </x:c>
      <x:c r="I50" s="7" t="n">
        <x:f>0</x:f>
        <x:v>0</x:v>
      </x:c>
      <x:c r="J50" s="7" t="n">
        <x:f>D50</x:f>
        <x:v>1.988464454676493</x:v>
      </x:c>
      <x:c r="K50" s="44"/>
      <x:c r="L50" s="44"/>
      <x:c r="M50" s="44"/>
      <x:c r="N50" s="43"/>
      <x:c r="O50" s="44"/>
      <x:c r="P50" s="43"/>
      <x:c r="Q50" s="44"/>
      <x:c r="R50" s="44"/>
      <x:c r="S50" s="45"/>
      <x:c r="T50" s="44"/>
      <x:c r="U50" s="44"/>
      <x:c r="V50" s="44"/>
      <x:c r="W50" s="44"/>
      <x:c r="X50" s="44"/>
      <x:c r="Y50" s="44"/>
      <x:c r="Z50"/>
      <x:c r="AA50"/>
      <x:c r="AB50"/>
      <x:c r="AC50"/>
      <x:c r="AD50"/>
    </x:row>
    <x:row r="51" ht="30" customHeight="1">
      <x:c r="A51" s="29" t="s">
        <x:v>44</x:v>
      </x:c>
      <x:c r="B51" s="29" t="s">
        <x:v>45</x:v>
      </x:c>
      <x:c r="C51" s="29" t="s">
        <x:v>46</x:v>
      </x:c>
      <x:c r="D51" s="30" t="n">
        <x:f>D49*F51*G51</x:f>
        <x:v>1.988464454676493</x:v>
      </x:c>
      <x:c r="E51" s="29" t="s">
        <x:v>47</x:v>
      </x:c>
      <x:c r="F51" s="31">
        <x:v>19</x:v>
      </x:c>
      <x:c r="G51" s="32">
        <x:v>1</x:v>
      </x:c>
      <x:c r="H51" s="31" t="n">
        <x:f>0</x:f>
        <x:v>0</x:v>
      </x:c>
      <x:c r="I51" s="31" t="n">
        <x:f>D51</x:f>
        <x:v>1.988464454676493</x:v>
      </x:c>
      <x:c r="J51" s="31" t="n">
        <x:f>0</x:f>
        <x:v>0</x:v>
      </x:c>
      <x:c r="K51" s="44"/>
      <x:c r="L51" s="44"/>
      <x:c r="M51" s="44"/>
      <x:c r="N51" s="43"/>
      <x:c r="O51" s="44"/>
      <x:c r="P51" s="43"/>
      <x:c r="Q51" s="44"/>
      <x:c r="R51" s="44"/>
      <x:c r="S51" s="45"/>
      <x:c r="T51" s="44"/>
      <x:c r="U51" s="44"/>
      <x:c r="V51" s="44"/>
      <x:c r="W51" s="44"/>
      <x:c r="X51" s="44"/>
      <x:c r="Y51" s="44"/>
      <x:c r="Z51"/>
      <x:c r="AA51"/>
      <x:c r="AB51"/>
      <x:c r="AC51"/>
      <x:c r="AD51"/>
    </x:row>
    <x:row r="52" ht="30" customHeight="1">
      <x:c r="A52" s="13" t="s">
        <x:v>27</x:v>
      </x:c>
      <x:c r="B52" s="13" t="s">
        <x:v>100</x:v>
      </x:c>
      <x:c r="C52" s="13" t="s">
        <x:v>101</x:v>
      </x:c>
      <x:c r="D52" s="14"/>
      <x:c r="E52" s="13"/>
      <x:c r="F52" s="15"/>
      <x:c r="G52" s="16"/>
      <x:c r="H52" s="15" t="n">
        <x:f t="shared" ref="H52:J53" si="0">SUM(H53)</x:f>
        <x:v>0</x:v>
      </x:c>
      <x:c r="I52" s="15">
        <x:f t="shared" si="0"/>
        <x:v>1148.932926</x:v>
      </x:c>
      <x:c r="J52" s="15">
        <x:f t="shared" si="0"/>
        <x:v>2230.6767919999998</x:v>
      </x:c>
      <x:c r="K52" s="44"/>
      <x:c r="L52" s="44"/>
      <x:c r="M52" s="44"/>
      <x:c r="N52" s="43"/>
      <x:c r="O52" s="44"/>
      <x:c r="P52" s="43"/>
      <x:c r="Q52" s="44"/>
      <x:c r="R52" s="44"/>
      <x:c r="S52" s="45"/>
      <x:c r="T52" s="44"/>
      <x:c r="U52" s="44"/>
      <x:c r="V52" s="44"/>
      <x:c r="W52" s="44"/>
      <x:c r="X52" s="44"/>
      <x:c r="Y52" s="44"/>
      <x:c r="Z52"/>
      <x:c r="AA52"/>
      <x:c r="AB52"/>
      <x:c r="AC52"/>
      <x:c r="AD52"/>
    </x:row>
    <x:row r="53" ht="30" customHeight="1">
      <x:c r="A53" s="17" t="s">
        <x:v>30</x:v>
      </x:c>
      <x:c r="B53" s="17" t="s">
        <x:v>102</x:v>
      </x:c>
      <x:c r="C53" s="17" t="s">
        <x:v>102</x:v>
      </x:c>
      <x:c r="D53" s="18"/>
      <x:c r="E53" s="17"/>
      <x:c r="F53" s="19"/>
      <x:c r="G53" s="20"/>
      <x:c r="H53" s="19">
        <x:f t="shared" si="0"/>
        <x:v>0</x:v>
      </x:c>
      <x:c r="I53" s="19">
        <x:f t="shared" si="0"/>
        <x:v>1148.932926</x:v>
      </x:c>
      <x:c r="J53" s="19">
        <x:f t="shared" si="0"/>
        <x:v>2230.6767919999998</x:v>
      </x:c>
      <x:c r="K53" s="44"/>
      <x:c r="L53" s="44"/>
      <x:c r="M53" s="44"/>
      <x:c r="N53" s="43"/>
      <x:c r="O53" s="44"/>
      <x:c r="P53" s="43"/>
      <x:c r="Q53" s="44"/>
      <x:c r="R53" s="44"/>
      <x:c r="S53" s="45"/>
      <x:c r="T53" s="44"/>
      <x:c r="U53" s="44"/>
      <x:c r="V53" s="44"/>
      <x:c r="W53" s="44"/>
      <x:c r="X53" s="44"/>
      <x:c r="Y53" s="44"/>
      <x:c r="Z53"/>
      <x:c r="AA53"/>
      <x:c r="AB53"/>
      <x:c r="AC53"/>
      <x:c r="AD53"/>
    </x:row>
    <x:row r="54" ht="30" customHeight="1">
      <x:c r="A54" s="21" t="s">
        <x:v>32</x:v>
      </x:c>
      <x:c r="B54" s="21" t="s">
        <x:v>103</x:v>
      </x:c>
      <x:c r="C54" s="21" t="s">
        <x:v>101</x:v>
      </x:c>
      <x:c r="D54" s="22">
        <x:v>335.94529999999997</x:v>
      </x:c>
      <x:c r="E54" s="21" t="s">
        <x:v>104</x:v>
      </x:c>
      <x:c r="F54" s="23"/>
      <x:c r="G54" s="24"/>
      <x:c r="H54" s="23" t="n">
        <x:f>SUM(H55,H61,H65,H69)</x:f>
        <x:v>0</x:v>
      </x:c>
      <x:c r="I54" s="23" t="n">
        <x:f>SUM(I55,I61,I65,I69)</x:f>
        <x:v>1148.932926</x:v>
      </x:c>
      <x:c r="J54" s="23" t="n">
        <x:f>SUM(J55,J61,J65,J69)</x:f>
        <x:v>2230.6767919999998</x:v>
      </x:c>
      <x:c r="K54" s="44"/>
      <x:c r="L54" s="44"/>
      <x:c r="M54" s="44"/>
      <x:c r="N54" s="43"/>
      <x:c r="O54" s="44"/>
      <x:c r="P54" s="43"/>
      <x:c r="Q54" s="44"/>
      <x:c r="R54" s="44"/>
      <x:c r="S54" s="45"/>
      <x:c r="T54" s="44"/>
      <x:c r="U54" s="44"/>
      <x:c r="V54" s="44"/>
      <x:c r="W54" s="44"/>
      <x:c r="X54" s="44"/>
      <x:c r="Y54" s="44"/>
      <x:c r="Z54"/>
      <x:c r="AA54"/>
      <x:c r="AB54"/>
      <x:c r="AC54"/>
      <x:c r="AD54"/>
    </x:row>
    <x:row r="55" ht="42" customHeight="1">
      <x:c r="A55" s="25" t="s">
        <x:v>36</x:v>
      </x:c>
      <x:c r="B55" s="25" t="s">
        <x:v>105</x:v>
      </x:c>
      <x:c r="C55" s="25" t="s">
        <x:v>106</x:v>
      </x:c>
      <x:c r="D55" s="26">
        <x:v>335.94529999999997</x:v>
      </x:c>
      <x:c r="E55" s="25" t="s">
        <x:v>104</x:v>
      </x:c>
      <x:c r="F55" s="27"/>
      <x:c r="G55" s="28"/>
      <x:c r="H55" s="27" t="n">
        <x:f>SUM(H56,H57,H58,H59,H60)</x:f>
        <x:v>0</x:v>
      </x:c>
      <x:c r="I55" s="27" t="n">
        <x:f>SUM(I56,I57,I58,I59,I60)</x:f>
        <x:v>574.466463</x:v>
      </x:c>
      <x:c r="J55" s="27" t="n">
        <x:f>SUM(J56,J57,J58,J59,J60)</x:f>
        <x:v>853.301062</x:v>
      </x:c>
      <x:c r="K55" s="44"/>
      <x:c r="L55" s="44"/>
      <x:c r="M55" s="44"/>
      <x:c r="N55" s="43"/>
      <x:c r="O55" s="44"/>
      <x:c r="P55" s="43"/>
      <x:c r="Q55" s="44"/>
      <x:c r="R55" s="44"/>
      <x:c r="S55" s="45"/>
      <x:c r="T55" s="44"/>
      <x:c r="U55" s="44"/>
      <x:c r="V55" s="44"/>
      <x:c r="W55" s="44"/>
      <x:c r="X55" s="44"/>
      <x:c r="Y55" s="44"/>
      <x:c r="Z55"/>
      <x:c r="AA55"/>
      <x:c r="AB55"/>
      <x:c r="AC55"/>
      <x:c r="AD55"/>
    </x:row>
    <x:row r="56" ht="42" customHeight="1">
      <x:c r="A56" s="5" t="s">
        <x:v>40</x:v>
      </x:c>
      <x:c r="B56" s="5" t="s">
        <x:v>107</x:v>
      </x:c>
      <x:c r="C56" s="5" t="s">
        <x:v>108</x:v>
      </x:c>
      <x:c r="D56" s="6" t="n">
        <x:f>D55*F56*G56</x:f>
        <x:v>295.631864</x:v>
      </x:c>
      <x:c r="E56" s="5" t="s">
        <x:v>43</x:v>
      </x:c>
      <x:c r="F56" s="7">
        <x:v>0.88</x:v>
      </x:c>
      <x:c r="G56" s="8">
        <x:v>1</x:v>
      </x:c>
      <x:c r="H56" s="7" t="n">
        <x:f>0</x:f>
        <x:v>0</x:v>
      </x:c>
      <x:c r="I56" s="7" t="n">
        <x:f>0</x:f>
        <x:v>0</x:v>
      </x:c>
      <x:c r="J56" s="7" t="n">
        <x:f>D56</x:f>
        <x:v>295.631864</x:v>
      </x:c>
      <x:c r="K56" s="44"/>
      <x:c r="L56" s="44"/>
      <x:c r="M56" s="44"/>
      <x:c r="N56" s="43"/>
      <x:c r="O56" s="44"/>
      <x:c r="P56" s="43"/>
      <x:c r="Q56" s="44"/>
      <x:c r="R56" s="44"/>
      <x:c r="S56" s="45"/>
      <x:c r="T56" s="44"/>
      <x:c r="U56" s="44"/>
      <x:c r="V56" s="44"/>
      <x:c r="W56" s="44"/>
      <x:c r="X56" s="44"/>
      <x:c r="Y56" s="44"/>
      <x:c r="Z56"/>
      <x:c r="AA56"/>
      <x:c r="AB56"/>
      <x:c r="AC56"/>
      <x:c r="AD56"/>
    </x:row>
    <x:row r="57" ht="30" customHeight="1">
      <x:c r="A57" s="29" t="s">
        <x:v>40</x:v>
      </x:c>
      <x:c r="B57" s="29" t="s">
        <x:v>109</x:v>
      </x:c>
      <x:c r="C57" s="29" t="s">
        <x:v>110</x:v>
      </x:c>
      <x:c r="D57" s="30" t="n">
        <x:f>D55*F57*G57</x:f>
        <x:v>278.83459899999997</x:v>
      </x:c>
      <x:c r="E57" s="29" t="s">
        <x:v>43</x:v>
      </x:c>
      <x:c r="F57" s="31">
        <x:v>0.83</x:v>
      </x:c>
      <x:c r="G57" s="32">
        <x:v>1</x:v>
      </x:c>
      <x:c r="H57" s="31" t="n">
        <x:f>0</x:f>
        <x:v>0</x:v>
      </x:c>
      <x:c r="I57" s="31" t="n">
        <x:f>0</x:f>
        <x:v>0</x:v>
      </x:c>
      <x:c r="J57" s="31" t="n">
        <x:f>D57</x:f>
        <x:v>278.83459899999997</x:v>
      </x:c>
      <x:c r="K57" s="44"/>
      <x:c r="L57" s="44"/>
      <x:c r="M57" s="44"/>
      <x:c r="N57" s="43"/>
      <x:c r="O57" s="44"/>
      <x:c r="P57" s="43"/>
      <x:c r="Q57" s="44"/>
      <x:c r="R57" s="44"/>
      <x:c r="S57" s="45"/>
      <x:c r="T57" s="44"/>
      <x:c r="U57" s="44"/>
      <x:c r="V57" s="44"/>
      <x:c r="W57" s="44"/>
      <x:c r="X57" s="44"/>
      <x:c r="Y57" s="44"/>
      <x:c r="Z57"/>
      <x:c r="AA57"/>
      <x:c r="AB57"/>
      <x:c r="AC57"/>
      <x:c r="AD57"/>
    </x:row>
    <x:row r="58" ht="42" customHeight="1">
      <x:c r="A58" s="5" t="s">
        <x:v>40</x:v>
      </x:c>
      <x:c r="B58" s="5" t="s">
        <x:v>111</x:v>
      </x:c>
      <x:c r="C58" s="5" t="s">
        <x:v>112</x:v>
      </x:c>
      <x:c r="D58" s="6" t="n">
        <x:f>D55*F58*G58</x:f>
        <x:v>278.83459899999997</x:v>
      </x:c>
      <x:c r="E58" s="5" t="s">
        <x:v>43</x:v>
      </x:c>
      <x:c r="F58" s="7">
        <x:v>0.83</x:v>
      </x:c>
      <x:c r="G58" s="8">
        <x:v>1</x:v>
      </x:c>
      <x:c r="H58" s="7" t="n">
        <x:f>0</x:f>
        <x:v>0</x:v>
      </x:c>
      <x:c r="I58" s="7" t="n">
        <x:f>0</x:f>
        <x:v>0</x:v>
      </x:c>
      <x:c r="J58" s="7" t="n">
        <x:f>D58</x:f>
        <x:v>278.83459899999997</x:v>
      </x:c>
      <x:c r="K58" s="44"/>
      <x:c r="L58" s="44"/>
      <x:c r="M58" s="44"/>
      <x:c r="N58" s="43"/>
      <x:c r="O58" s="44"/>
      <x:c r="P58" s="43"/>
      <x:c r="Q58" s="44"/>
      <x:c r="R58" s="44"/>
      <x:c r="S58" s="45"/>
      <x:c r="T58" s="44"/>
      <x:c r="U58" s="44"/>
      <x:c r="V58" s="44"/>
      <x:c r="W58" s="44"/>
      <x:c r="X58" s="44"/>
      <x:c r="Y58" s="44"/>
      <x:c r="Z58"/>
      <x:c r="AA58"/>
      <x:c r="AB58"/>
      <x:c r="AC58"/>
      <x:c r="AD58"/>
    </x:row>
    <x:row r="59" ht="30" customHeight="1">
      <x:c r="A59" s="29" t="s">
        <x:v>44</x:v>
      </x:c>
      <x:c r="B59" s="29" t="s">
        <x:v>74</x:v>
      </x:c>
      <x:c r="C59" s="29" t="s">
        <x:v>75</x:v>
      </x:c>
      <x:c r="D59" s="30" t="n">
        <x:f>D55*F59*G59</x:f>
        <x:v>278.83459899999997</x:v>
      </x:c>
      <x:c r="E59" s="29" t="s">
        <x:v>47</x:v>
      </x:c>
      <x:c r="F59" s="31">
        <x:v>0.83</x:v>
      </x:c>
      <x:c r="G59" s="32">
        <x:v>1</x:v>
      </x:c>
      <x:c r="H59" s="31" t="n">
        <x:f>0</x:f>
        <x:v>0</x:v>
      </x:c>
      <x:c r="I59" s="31" t="n">
        <x:f>D59</x:f>
        <x:v>278.83459899999997</x:v>
      </x:c>
      <x:c r="J59" s="31" t="n">
        <x:f>0</x:f>
        <x:v>0</x:v>
      </x:c>
      <x:c r="K59" s="44"/>
      <x:c r="L59" s="44"/>
      <x:c r="M59" s="44"/>
      <x:c r="N59" s="43"/>
      <x:c r="O59" s="44"/>
      <x:c r="P59" s="43"/>
      <x:c r="Q59" s="44"/>
      <x:c r="R59" s="44"/>
      <x:c r="S59" s="45"/>
      <x:c r="T59" s="44"/>
      <x:c r="U59" s="44"/>
      <x:c r="V59" s="44"/>
      <x:c r="W59" s="44"/>
      <x:c r="X59" s="44"/>
      <x:c r="Y59" s="44"/>
      <x:c r="Z59"/>
      <x:c r="AA59"/>
      <x:c r="AB59"/>
      <x:c r="AC59"/>
      <x:c r="AD59"/>
    </x:row>
    <x:row r="60" ht="30" customHeight="1">
      <x:c r="A60" s="5" t="s">
        <x:v>44</x:v>
      </x:c>
      <x:c r="B60" s="5" t="s">
        <x:v>54</x:v>
      </x:c>
      <x:c r="C60" s="5" t="s">
        <x:v>55</x:v>
      </x:c>
      <x:c r="D60" s="6" t="n">
        <x:f>D55*F60*G60</x:f>
        <x:v>295.631864</x:v>
      </x:c>
      <x:c r="E60" s="5" t="s">
        <x:v>47</x:v>
      </x:c>
      <x:c r="F60" s="7">
        <x:v>0.88</x:v>
      </x:c>
      <x:c r="G60" s="8">
        <x:v>1</x:v>
      </x:c>
      <x:c r="H60" s="7" t="n">
        <x:f>0</x:f>
        <x:v>0</x:v>
      </x:c>
      <x:c r="I60" s="7" t="n">
        <x:f>D60</x:f>
        <x:v>295.631864</x:v>
      </x:c>
      <x:c r="J60" s="7" t="n">
        <x:f>0</x:f>
        <x:v>0</x:v>
      </x:c>
      <x:c r="K60" s="44"/>
      <x:c r="L60" s="44"/>
      <x:c r="M60" s="44"/>
      <x:c r="N60" s="43"/>
      <x:c r="O60" s="44"/>
      <x:c r="P60" s="43"/>
      <x:c r="Q60" s="44"/>
      <x:c r="R60" s="44"/>
      <x:c r="S60" s="45"/>
      <x:c r="T60" s="44"/>
      <x:c r="U60" s="44"/>
      <x:c r="V60" s="44"/>
      <x:c r="W60" s="44"/>
      <x:c r="X60" s="44"/>
      <x:c r="Y60" s="44"/>
      <x:c r="Z60"/>
      <x:c r="AA60"/>
      <x:c r="AB60"/>
      <x:c r="AC60"/>
      <x:c r="AD60"/>
    </x:row>
    <x:row r="61" ht="30" customHeight="1">
      <x:c r="A61" s="25" t="s">
        <x:v>36</x:v>
      </x:c>
      <x:c r="B61" s="25" t="s">
        <x:v>113</x:v>
      </x:c>
      <x:c r="C61" s="25" t="s">
        <x:v>114</x:v>
      </x:c>
      <x:c r="D61" s="26">
        <x:v>335.94529999999997</x:v>
      </x:c>
      <x:c r="E61" s="25" t="s">
        <x:v>104</x:v>
      </x:c>
      <x:c r="F61" s="27"/>
      <x:c r="G61" s="28"/>
      <x:c r="H61" s="27" t="n">
        <x:f>SUM(H62,H63,H64)</x:f>
        <x:v>0</x:v>
      </x:c>
      <x:c r="I61" s="27" t="n">
        <x:f>SUM(I62,I63,I64)</x:f>
        <x:v>178.051009</x:v>
      </x:c>
      <x:c r="J61" s="27" t="n">
        <x:f>SUM(J62,J63,J64)</x:f>
        <x:v>356.102018</x:v>
      </x:c>
      <x:c r="K61" s="44"/>
      <x:c r="L61" s="44"/>
      <x:c r="M61" s="44"/>
      <x:c r="N61" s="43"/>
      <x:c r="O61" s="44"/>
      <x:c r="P61" s="43"/>
      <x:c r="Q61" s="44"/>
      <x:c r="R61" s="44"/>
      <x:c r="S61" s="45"/>
      <x:c r="T61" s="44"/>
      <x:c r="U61" s="44"/>
      <x:c r="V61" s="44"/>
      <x:c r="W61" s="44"/>
      <x:c r="X61" s="44"/>
      <x:c r="Y61" s="44"/>
      <x:c r="Z61"/>
      <x:c r="AA61"/>
      <x:c r="AB61"/>
      <x:c r="AC61"/>
      <x:c r="AD61"/>
    </x:row>
    <x:row r="62" ht="30" customHeight="1">
      <x:c r="A62" s="5" t="s">
        <x:v>40</x:v>
      </x:c>
      <x:c r="B62" s="5" t="s">
        <x:v>115</x:v>
      </x:c>
      <x:c r="C62" s="5" t="s">
        <x:v>116</x:v>
      </x:c>
      <x:c r="D62" s="6" t="n">
        <x:f>D61*F62*G62</x:f>
        <x:v>178.051009</x:v>
      </x:c>
      <x:c r="E62" s="5" t="s">
        <x:v>43</x:v>
      </x:c>
      <x:c r="F62" s="7">
        <x:v>0.53</x:v>
      </x:c>
      <x:c r="G62" s="8">
        <x:v>1</x:v>
      </x:c>
      <x:c r="H62" s="7" t="n">
        <x:f>0</x:f>
        <x:v>0</x:v>
      </x:c>
      <x:c r="I62" s="7" t="n">
        <x:f>0</x:f>
        <x:v>0</x:v>
      </x:c>
      <x:c r="J62" s="7" t="n">
        <x:f>D62</x:f>
        <x:v>178.051009</x:v>
      </x:c>
      <x:c r="K62" s="44"/>
      <x:c r="L62" s="44"/>
      <x:c r="M62" s="44"/>
      <x:c r="N62" s="43"/>
      <x:c r="O62" s="44"/>
      <x:c r="P62" s="43"/>
      <x:c r="Q62" s="44"/>
      <x:c r="R62" s="44"/>
      <x:c r="S62" s="45"/>
      <x:c r="T62" s="44"/>
      <x:c r="U62" s="44"/>
      <x:c r="V62" s="44"/>
      <x:c r="W62" s="44"/>
      <x:c r="X62" s="44"/>
      <x:c r="Y62" s="44"/>
      <x:c r="Z62"/>
      <x:c r="AA62"/>
      <x:c r="AB62"/>
      <x:c r="AC62"/>
      <x:c r="AD62"/>
    </x:row>
    <x:row r="63" ht="42" customHeight="1">
      <x:c r="A63" s="29" t="s">
        <x:v>40</x:v>
      </x:c>
      <x:c r="B63" s="29" t="s">
        <x:v>111</x:v>
      </x:c>
      <x:c r="C63" s="29" t="s">
        <x:v>112</x:v>
      </x:c>
      <x:c r="D63" s="30" t="n">
        <x:f>D61*F63*G63</x:f>
        <x:v>178.051009</x:v>
      </x:c>
      <x:c r="E63" s="29" t="s">
        <x:v>43</x:v>
      </x:c>
      <x:c r="F63" s="31">
        <x:v>0.53</x:v>
      </x:c>
      <x:c r="G63" s="32">
        <x:v>1</x:v>
      </x:c>
      <x:c r="H63" s="31" t="n">
        <x:f>0</x:f>
        <x:v>0</x:v>
      </x:c>
      <x:c r="I63" s="31" t="n">
        <x:f>0</x:f>
        <x:v>0</x:v>
      </x:c>
      <x:c r="J63" s="31" t="n">
        <x:f>D63</x:f>
        <x:v>178.051009</x:v>
      </x:c>
      <x:c r="K63" s="44"/>
      <x:c r="L63" s="44"/>
      <x:c r="M63" s="44"/>
      <x:c r="N63" s="43"/>
      <x:c r="O63" s="44"/>
      <x:c r="P63" s="43"/>
      <x:c r="Q63" s="44"/>
      <x:c r="R63" s="44"/>
      <x:c r="S63" s="45"/>
      <x:c r="T63" s="44"/>
      <x:c r="U63" s="44"/>
      <x:c r="V63" s="44"/>
      <x:c r="W63" s="44"/>
      <x:c r="X63" s="44"/>
      <x:c r="Y63" s="44"/>
      <x:c r="Z63"/>
      <x:c r="AA63"/>
      <x:c r="AB63"/>
      <x:c r="AC63"/>
      <x:c r="AD63"/>
    </x:row>
    <x:row r="64" ht="30" customHeight="1">
      <x:c r="A64" s="5" t="s">
        <x:v>44</x:v>
      </x:c>
      <x:c r="B64" s="5" t="s">
        <x:v>74</x:v>
      </x:c>
      <x:c r="C64" s="5" t="s">
        <x:v>75</x:v>
      </x:c>
      <x:c r="D64" s="6" t="n">
        <x:f>D61*F64*G64</x:f>
        <x:v>178.051009</x:v>
      </x:c>
      <x:c r="E64" s="5" t="s">
        <x:v>47</x:v>
      </x:c>
      <x:c r="F64" s="7">
        <x:v>0.53</x:v>
      </x:c>
      <x:c r="G64" s="8">
        <x:v>1</x:v>
      </x:c>
      <x:c r="H64" s="7" t="n">
        <x:f>0</x:f>
        <x:v>0</x:v>
      </x:c>
      <x:c r="I64" s="7" t="n">
        <x:f>D64</x:f>
        <x:v>178.051009</x:v>
      </x:c>
      <x:c r="J64" s="7" t="n">
        <x:f>0</x:f>
        <x:v>0</x:v>
      </x:c>
      <x:c r="K64" s="44"/>
      <x:c r="L64" s="44"/>
      <x:c r="M64" s="44"/>
      <x:c r="N64" s="43"/>
      <x:c r="O64" s="44"/>
      <x:c r="P64" s="43"/>
      <x:c r="Q64" s="44"/>
      <x:c r="R64" s="44"/>
      <x:c r="S64" s="45"/>
      <x:c r="T64" s="44"/>
      <x:c r="U64" s="44"/>
      <x:c r="V64" s="44"/>
      <x:c r="W64" s="44"/>
      <x:c r="X64" s="44"/>
      <x:c r="Y64" s="44"/>
      <x:c r="Z64"/>
      <x:c r="AA64"/>
      <x:c r="AB64"/>
      <x:c r="AC64"/>
      <x:c r="AD64"/>
    </x:row>
    <x:row r="65" ht="30" customHeight="1">
      <x:c r="A65" s="25" t="s">
        <x:v>36</x:v>
      </x:c>
      <x:c r="B65" s="25" t="s">
        <x:v>117</x:v>
      </x:c>
      <x:c r="C65" s="25" t="s">
        <x:v>118</x:v>
      </x:c>
      <x:c r="D65" s="26">
        <x:v>335.94529999999997</x:v>
      </x:c>
      <x:c r="E65" s="25" t="s">
        <x:v>104</x:v>
      </x:c>
      <x:c r="F65" s="27"/>
      <x:c r="G65" s="28"/>
      <x:c r="H65" s="27" t="n">
        <x:f>SUM(H66,H67,H68)</x:f>
        <x:v>0</x:v>
      </x:c>
      <x:c r="I65" s="27" t="n">
        <x:f>SUM(I66,I67,I68)</x:f>
        <x:v>167.97265</x:v>
      </x:c>
      <x:c r="J65" s="27" t="n">
        <x:f>SUM(J66,J67,J68)</x:f>
        <x:v>335.9453</x:v>
      </x:c>
      <x:c r="K65" s="44"/>
      <x:c r="L65" s="44"/>
      <x:c r="M65" s="44"/>
      <x:c r="N65" s="43"/>
      <x:c r="O65" s="44"/>
      <x:c r="P65" s="43"/>
      <x:c r="Q65" s="44"/>
      <x:c r="R65" s="44"/>
      <x:c r="S65" s="45"/>
      <x:c r="T65" s="44"/>
      <x:c r="U65" s="44"/>
      <x:c r="V65" s="44"/>
      <x:c r="W65" s="44"/>
      <x:c r="X65" s="44"/>
      <x:c r="Y65" s="44"/>
      <x:c r="Z65"/>
      <x:c r="AA65"/>
      <x:c r="AB65"/>
      <x:c r="AC65"/>
      <x:c r="AD65"/>
    </x:row>
    <x:row r="66" ht="30" customHeight="1">
      <x:c r="A66" s="5" t="s">
        <x:v>40</x:v>
      </x:c>
      <x:c r="B66" s="5" t="s">
        <x:v>119</x:v>
      </x:c>
      <x:c r="C66" s="5" t="s">
        <x:v>120</x:v>
      </x:c>
      <x:c r="D66" s="6" t="n">
        <x:f>D65*F66*G66</x:f>
        <x:v>167.97265</x:v>
      </x:c>
      <x:c r="E66" s="5" t="s">
        <x:v>43</x:v>
      </x:c>
      <x:c r="F66" s="7">
        <x:v>0.5</x:v>
      </x:c>
      <x:c r="G66" s="8">
        <x:v>1</x:v>
      </x:c>
      <x:c r="H66" s="7" t="n">
        <x:f>0</x:f>
        <x:v>0</x:v>
      </x:c>
      <x:c r="I66" s="7" t="n">
        <x:f>0</x:f>
        <x:v>0</x:v>
      </x:c>
      <x:c r="J66" s="7" t="n">
        <x:f>D66</x:f>
        <x:v>167.97265</x:v>
      </x:c>
      <x:c r="K66" s="44"/>
      <x:c r="L66" s="44"/>
      <x:c r="M66" s="44"/>
      <x:c r="N66" s="43"/>
      <x:c r="O66" s="44"/>
      <x:c r="P66" s="43"/>
      <x:c r="Q66" s="44"/>
      <x:c r="R66" s="44"/>
      <x:c r="S66" s="45"/>
      <x:c r="T66" s="44"/>
      <x:c r="U66" s="44"/>
      <x:c r="V66" s="44"/>
      <x:c r="W66" s="44"/>
      <x:c r="X66" s="44"/>
      <x:c r="Y66" s="44"/>
      <x:c r="Z66"/>
      <x:c r="AA66"/>
      <x:c r="AB66"/>
      <x:c r="AC66"/>
      <x:c r="AD66"/>
    </x:row>
    <x:row r="67" ht="42" customHeight="1">
      <x:c r="A67" s="29" t="s">
        <x:v>40</x:v>
      </x:c>
      <x:c r="B67" s="29" t="s">
        <x:v>111</x:v>
      </x:c>
      <x:c r="C67" s="29" t="s">
        <x:v>112</x:v>
      </x:c>
      <x:c r="D67" s="30" t="n">
        <x:f>D65*F67*G67</x:f>
        <x:v>167.97265</x:v>
      </x:c>
      <x:c r="E67" s="29" t="s">
        <x:v>43</x:v>
      </x:c>
      <x:c r="F67" s="31">
        <x:v>0.5</x:v>
      </x:c>
      <x:c r="G67" s="32">
        <x:v>1</x:v>
      </x:c>
      <x:c r="H67" s="31" t="n">
        <x:f>0</x:f>
        <x:v>0</x:v>
      </x:c>
      <x:c r="I67" s="31" t="n">
        <x:f>0</x:f>
        <x:v>0</x:v>
      </x:c>
      <x:c r="J67" s="31" t="n">
        <x:f>D67</x:f>
        <x:v>167.97265</x:v>
      </x:c>
      <x:c r="K67" s="44"/>
      <x:c r="L67" s="44"/>
      <x:c r="M67" s="44"/>
      <x:c r="N67" s="43"/>
      <x:c r="O67" s="44"/>
      <x:c r="P67" s="43"/>
      <x:c r="Q67" s="44"/>
      <x:c r="R67" s="44"/>
      <x:c r="S67" s="45"/>
      <x:c r="T67" s="44"/>
      <x:c r="U67" s="44"/>
      <x:c r="V67" s="44"/>
      <x:c r="W67" s="44"/>
      <x:c r="X67" s="44"/>
      <x:c r="Y67" s="44"/>
      <x:c r="Z67"/>
      <x:c r="AA67"/>
      <x:c r="AB67"/>
      <x:c r="AC67"/>
      <x:c r="AD67"/>
    </x:row>
    <x:row r="68" ht="30" customHeight="1">
      <x:c r="A68" s="5" t="s">
        <x:v>44</x:v>
      </x:c>
      <x:c r="B68" s="5" t="s">
        <x:v>74</x:v>
      </x:c>
      <x:c r="C68" s="5" t="s">
        <x:v>75</x:v>
      </x:c>
      <x:c r="D68" s="6" t="n">
        <x:f>D65*F68*G68</x:f>
        <x:v>167.97265</x:v>
      </x:c>
      <x:c r="E68" s="5" t="s">
        <x:v>47</x:v>
      </x:c>
      <x:c r="F68" s="7">
        <x:v>0.5</x:v>
      </x:c>
      <x:c r="G68" s="8">
        <x:v>1</x:v>
      </x:c>
      <x:c r="H68" s="7" t="n">
        <x:f>0</x:f>
        <x:v>0</x:v>
      </x:c>
      <x:c r="I68" s="7" t="n">
        <x:f>D68</x:f>
        <x:v>167.97265</x:v>
      </x:c>
      <x:c r="J68" s="7" t="n">
        <x:f>0</x:f>
        <x:v>0</x:v>
      </x:c>
      <x:c r="K68" s="44"/>
      <x:c r="L68" s="44"/>
      <x:c r="M68" s="44"/>
      <x:c r="N68" s="43"/>
      <x:c r="O68" s="44"/>
      <x:c r="P68" s="43"/>
      <x:c r="Q68" s="44"/>
      <x:c r="R68" s="44"/>
      <x:c r="S68" s="45"/>
      <x:c r="T68" s="44"/>
      <x:c r="U68" s="44"/>
      <x:c r="V68" s="44"/>
      <x:c r="W68" s="44"/>
      <x:c r="X68" s="44"/>
      <x:c r="Y68" s="44"/>
      <x:c r="Z68"/>
      <x:c r="AA68"/>
      <x:c r="AB68"/>
      <x:c r="AC68"/>
      <x:c r="AD68"/>
    </x:row>
    <x:row r="69" ht="30" customHeight="1">
      <x:c r="A69" s="25" t="s">
        <x:v>36</x:v>
      </x:c>
      <x:c r="B69" s="25" t="s">
        <x:v>121</x:v>
      </x:c>
      <x:c r="C69" s="25" t="s">
        <x:v>122</x:v>
      </x:c>
      <x:c r="D69" s="26">
        <x:v>335.94529999999997</x:v>
      </x:c>
      <x:c r="E69" s="25" t="s">
        <x:v>104</x:v>
      </x:c>
      <x:c r="F69" s="27"/>
      <x:c r="G69" s="28"/>
      <x:c r="H69" s="27" t="n">
        <x:f>SUM(H70,H71,H72)</x:f>
        <x:v>0</x:v>
      </x:c>
      <x:c r="I69" s="27" t="n">
        <x:f>SUM(I70,I71,I72)</x:f>
        <x:v>228.442804</x:v>
      </x:c>
      <x:c r="J69" s="27" t="n">
        <x:f>SUM(J70,J71,J72)</x:f>
        <x:v>685.328412</x:v>
      </x:c>
      <x:c r="K69" s="44"/>
      <x:c r="L69" s="44"/>
      <x:c r="M69" s="44"/>
      <x:c r="N69" s="43"/>
      <x:c r="O69" s="44"/>
      <x:c r="P69" s="43"/>
      <x:c r="Q69" s="44"/>
      <x:c r="R69" s="44"/>
      <x:c r="S69" s="45"/>
      <x:c r="T69" s="44"/>
      <x:c r="U69" s="44"/>
      <x:c r="V69" s="44"/>
      <x:c r="W69" s="44"/>
      <x:c r="X69" s="44"/>
      <x:c r="Y69" s="44"/>
      <x:c r="Z69"/>
      <x:c r="AA69"/>
      <x:c r="AB69"/>
      <x:c r="AC69"/>
      <x:c r="AD69"/>
    </x:row>
    <x:row r="70" ht="30" customHeight="1">
      <x:c r="A70" s="5" t="s">
        <x:v>40</x:v>
      </x:c>
      <x:c r="B70" s="5" t="s">
        <x:v>123</x:v>
      </x:c>
      <x:c r="C70" s="5" t="s">
        <x:v>124</x:v>
      </x:c>
      <x:c r="D70" s="6" t="n">
        <x:f>D69*F70*G70</x:f>
        <x:v>456.885608</x:v>
      </x:c>
      <x:c r="E70" s="5" t="s">
        <x:v>43</x:v>
      </x:c>
      <x:c r="F70" s="7">
        <x:v>1.36</x:v>
      </x:c>
      <x:c r="G70" s="8">
        <x:v>1</x:v>
      </x:c>
      <x:c r="H70" s="7" t="n">
        <x:f>0</x:f>
        <x:v>0</x:v>
      </x:c>
      <x:c r="I70" s="7" t="n">
        <x:f>0</x:f>
        <x:v>0</x:v>
      </x:c>
      <x:c r="J70" s="7" t="n">
        <x:f>D70</x:f>
        <x:v>456.885608</x:v>
      </x:c>
      <x:c r="K70" s="44"/>
      <x:c r="L70" s="44"/>
      <x:c r="M70" s="44"/>
      <x:c r="N70" s="43"/>
      <x:c r="O70" s="44"/>
      <x:c r="P70" s="43"/>
      <x:c r="Q70" s="44"/>
      <x:c r="R70" s="44"/>
      <x:c r="S70" s="45"/>
      <x:c r="T70" s="44"/>
      <x:c r="U70" s="44"/>
      <x:c r="V70" s="44"/>
      <x:c r="W70" s="44"/>
      <x:c r="X70" s="44"/>
      <x:c r="Y70" s="44"/>
      <x:c r="Z70"/>
      <x:c r="AA70"/>
      <x:c r="AB70"/>
      <x:c r="AC70"/>
      <x:c r="AD70"/>
    </x:row>
    <x:row r="71" ht="42" customHeight="1">
      <x:c r="A71" s="29" t="s">
        <x:v>40</x:v>
      </x:c>
      <x:c r="B71" s="29" t="s">
        <x:v>125</x:v>
      </x:c>
      <x:c r="C71" s="29" t="s">
        <x:v>126</x:v>
      </x:c>
      <x:c r="D71" s="30" t="n">
        <x:f>D69*F71*G71</x:f>
        <x:v>228.442804</x:v>
      </x:c>
      <x:c r="E71" s="29" t="s">
        <x:v>43</x:v>
      </x:c>
      <x:c r="F71" s="31">
        <x:v>0.68</x:v>
      </x:c>
      <x:c r="G71" s="32">
        <x:v>1</x:v>
      </x:c>
      <x:c r="H71" s="31" t="n">
        <x:f>0</x:f>
        <x:v>0</x:v>
      </x:c>
      <x:c r="I71" s="31" t="n">
        <x:f>0</x:f>
        <x:v>0</x:v>
      </x:c>
      <x:c r="J71" s="31" t="n">
        <x:f>D71</x:f>
        <x:v>228.442804</x:v>
      </x:c>
      <x:c r="K71" s="44"/>
      <x:c r="L71" s="44"/>
      <x:c r="M71" s="44"/>
      <x:c r="N71" s="43"/>
      <x:c r="O71" s="44"/>
      <x:c r="P71" s="43"/>
      <x:c r="Q71" s="44"/>
      <x:c r="R71" s="44"/>
      <x:c r="S71" s="45"/>
      <x:c r="T71" s="44"/>
      <x:c r="U71" s="44"/>
      <x:c r="V71" s="44"/>
      <x:c r="W71" s="44"/>
      <x:c r="X71" s="44"/>
      <x:c r="Y71" s="44"/>
      <x:c r="Z71"/>
      <x:c r="AA71"/>
      <x:c r="AB71"/>
      <x:c r="AC71"/>
      <x:c r="AD71"/>
    </x:row>
    <x:row r="72" ht="30" customHeight="1">
      <x:c r="A72" s="5" t="s">
        <x:v>44</x:v>
      </x:c>
      <x:c r="B72" s="5" t="s">
        <x:v>127</x:v>
      </x:c>
      <x:c r="C72" s="5" t="s">
        <x:v>128</x:v>
      </x:c>
      <x:c r="D72" s="6" t="n">
        <x:f>D69*F72*G72</x:f>
        <x:v>228.442804</x:v>
      </x:c>
      <x:c r="E72" s="5" t="s">
        <x:v>47</x:v>
      </x:c>
      <x:c r="F72" s="7">
        <x:v>0.68</x:v>
      </x:c>
      <x:c r="G72" s="8">
        <x:v>1</x:v>
      </x:c>
      <x:c r="H72" s="7" t="n">
        <x:f>0</x:f>
        <x:v>0</x:v>
      </x:c>
      <x:c r="I72" s="7" t="n">
        <x:f>D72</x:f>
        <x:v>228.442804</x:v>
      </x:c>
      <x:c r="J72" s="7" t="n">
        <x:f>0</x:f>
        <x:v>0</x:v>
      </x:c>
      <x:c r="K72" s="44"/>
      <x:c r="L72" s="44"/>
      <x:c r="M72" s="44"/>
      <x:c r="N72" s="43"/>
      <x:c r="O72" s="44"/>
      <x:c r="P72" s="43"/>
      <x:c r="Q72" s="44"/>
      <x:c r="R72" s="44"/>
      <x:c r="S72" s="45"/>
      <x:c r="T72" s="44"/>
      <x:c r="U72" s="44"/>
      <x:c r="V72" s="44"/>
      <x:c r="W72" s="44"/>
      <x:c r="X72" s="44"/>
      <x:c r="Y72" s="44"/>
      <x:c r="Z72"/>
      <x:c r="AA72"/>
      <x:c r="AB72"/>
      <x:c r="AC72"/>
      <x:c r="AD72"/>
    </x:row>
    <x:row r="73" ht="23.100000381469727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44"/>
      <x:c r="L73" s="44"/>
      <x:c r="M73" s="44"/>
      <x:c r="N73" s="43"/>
      <x:c r="O73" s="44"/>
      <x:c r="P73" s="43"/>
      <x:c r="Q73" s="44"/>
      <x:c r="R73" s="44"/>
      <x:c r="S73" s="45"/>
      <x:c r="T73" s="44"/>
      <x:c r="U73" s="44"/>
      <x:c r="V73" s="44"/>
      <x:c r="W73" s="44"/>
      <x:c r="X73" s="44"/>
      <x:c r="Y73" s="44"/>
      <x:c r="Z73"/>
      <x:c r="AA73"/>
      <x:c r="AB73"/>
      <x:c r="AC73"/>
      <x:c r="AD73"/>
    </x:row>
    <x:row r="74" ht="30" customHeight="1">
      <x:c r="A74" s="37"/>
      <x:c r="B74" s="37"/>
      <x:c r="C74" s="37" t="s">
        <x:v>129</x:v>
      </x:c>
      <x:c r="D74" s="37"/>
      <x:c r="E74" s="37"/>
      <x:c r="F74" s="37"/>
      <x:c r="G74" s="37"/>
      <x:c r="H74" s="38" t="n">
        <x:f>H5</x:f>
        <x:v>654.2334798854394</x:v>
      </x:c>
      <x:c r="I74" s="38" t="n">
        <x:f>I5</x:f>
        <x:v>5168.001663815754</x:v>
      </x:c>
      <x:c r="J74" s="38" t="n">
        <x:f>J5</x:f>
        <x:v>6665.883029815754</x:v>
      </x:c>
      <x:c r="K74" s="44"/>
      <x:c r="L74" s="44"/>
      <x:c r="M74" s="44"/>
      <x:c r="N74" s="43"/>
      <x:c r="O74" s="44"/>
      <x:c r="P74" s="43"/>
      <x:c r="Q74" s="44"/>
      <x:c r="R74" s="44"/>
      <x:c r="S74" s="45"/>
      <x:c r="T74" s="44"/>
      <x:c r="U74" s="44"/>
      <x:c r="V74" s="44"/>
      <x:c r="W74" s="44"/>
      <x:c r="X74" s="44"/>
      <x:c r="Y74" s="44"/>
      <x:c r="Z74"/>
      <x:c r="AA74"/>
      <x:c r="AB74"/>
      <x:c r="AC74"/>
      <x:c r="AD74"/>
    </x:row>
    <x:row r="75" ht="23.100000381469727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 ht="23.100000381469727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 ht="23.100000381469727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</x:sheetData>
  <x:mergeCells>
    <x:mergeCell ref="A2:J2"/>
    <x:mergeCell ref="A3:J3"/>
  </x:mergeCells>
  <x:dataValidations count="1">
    <x:dataValidation type="decimal" operator="greaterThanOrEqual" sqref="D1 X1 T1 R1 O1 L1 F1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DB9CC"/>
  </x:sheetPr>
  <x:sheetViews>
    <x:sheetView showGridLines="0" workbookViewId="0"/>
  </x:sheetViews>
  <x:sheetFormatPr defaultRowHeight="15"/>
  <x:cols>
    <x:col min="1" max="1" width="50" hidden="0" customWidth="1"/>
    <x:col min="2" max="2" width="22" hidden="0" customWidth="1"/>
    <x:col min="3" max="3" width="68" hidden="0" customWidth="1"/>
    <x:col min="4" max="4" width="20" hidden="0" customWidth="1"/>
    <x:col min="5" max="5" width="25" hidden="0" customWidth="1"/>
    <x:col min="6" max="6" width="25" hidden="0" customWidth="1"/>
  </x:cols>
  <x:sheetData>
    <x:row r="2">
      <x:c r="A2" s="57" t="str">
        <x:v>Настройки стоимости</x:v>
      </x:c>
    </x:row>
    <x:row r="4" ht="30" customHeight="1">
      <x:c r="A4" s="96" t="str">
        <x:v>Параметр</x:v>
      </x:c>
      <x:c r="B4" s="96" t="str">
        <x:v>Значение</x:v>
      </x:c>
      <x:c r="C4" s="96" t="str">
        <x:v>Как используется</x:v>
      </x:c>
      <x:c r="D4" s="39"/>
      <x:c r="E4" s="39"/>
      <x:c r="F4" s="39"/>
    </x:row>
    <x:row r="5" ht="30" customHeight="1">
      <x:c r="A5" s="39" t="str">
        <x:v>Общая ставка рабочих, руб./чел.-ч</x:v>
      </x:c>
      <x:c r="B5" s="62"/>
      <x:c r="C5" s="39" t="str">
        <x:v>Используется вместо автоматически подобранной цены, если заполнена</x:v>
      </x:c>
      <x:c r="D5" s="39"/>
      <x:c r="E5" s="39"/>
      <x:c r="F5" s="39"/>
    </x:row>
    <x:row r="6" ht="30" customHeight="1">
      <x:c r="A6" s="39" t="str">
        <x:v>Общая ставка машинистов, руб./чел.-ч</x:v>
      </x:c>
      <x:c r="B6" s="62"/>
      <x:c r="C6" s="39" t="str">
        <x:v>Используется вместо автоматически подобранной цены, если заполнена</x:v>
      </x:c>
      <x:c r="D6" s="39"/>
      <x:c r="E6" s="39"/>
      <x:c r="F6" s="39"/>
    </x:row>
    <x:row r="7" ht="30" customHeight="1">
      <x:c r="A7" s="39" t="str">
        <x:v>Индекс оплаты труда</x:v>
      </x:c>
      <x:c r="B7" s="62"/>
      <x:c r="C7" s="39" t="str">
        <x:v>Пусто = 1. Применяется к рабочим и машинистам</x:v>
      </x:c>
      <x:c r="D7" s="39"/>
      <x:c r="E7" s="39"/>
      <x:c r="F7" s="39"/>
    </x:row>
    <x:row r="8" ht="30" customHeight="1">
      <x:c r="A8" s="39" t="str">
        <x:v>Индекс материалов</x:v>
      </x:c>
      <x:c r="B8" s="62"/>
      <x:c r="C8" s="39" t="str">
        <x:v>Пусто = 1. Дополнительный множитель цены</x:v>
      </x:c>
      <x:c r="D8" s="39"/>
      <x:c r="E8" s="39"/>
      <x:c r="F8" s="39"/>
    </x:row>
    <x:row r="9" ht="30" customHeight="1">
      <x:c r="A9" s="39" t="str">
        <x:v>Индекс машин и механизмов</x:v>
      </x:c>
      <x:c r="B9" s="62"/>
      <x:c r="C9" s="39" t="str">
        <x:v>Пусто = 1. Дополнительный множитель цены</x:v>
      </x:c>
      <x:c r="D9" s="39"/>
      <x:c r="E9" s="39"/>
      <x:c r="F9" s="39"/>
    </x:row>
    <x:row r="10" ht="30" customHeight="1">
      <x:c r="A10" s="39" t="str">
        <x:v>Поправка НР</x:v>
      </x:c>
      <x:c r="B10" s="62"/>
      <x:c r="C10" s="39" t="str">
        <x:v>Пусто = 1. Начисляется на норматив НР</x:v>
      </x:c>
      <x:c r="D10" s="39"/>
      <x:c r="E10" s="39"/>
      <x:c r="F10" s="39"/>
    </x:row>
    <x:row r="11" ht="30" customHeight="1">
      <x:c r="A11" s="39" t="str">
        <x:v>Поправка СП</x:v>
      </x:c>
      <x:c r="B11" s="62"/>
      <x:c r="C11" s="39" t="str">
        <x:v>Пусто = 1. Начисляется на норматив СП</x:v>
      </x:c>
      <x:c r="D11" s="39"/>
      <x:c r="E11" s="39"/>
      <x:c r="F11" s="39"/>
    </x:row>
    <x:row r="12" ht="30" customHeight="1">
      <x:c r="A12" s="39" t="str">
        <x:v>Правило ставки</x:v>
      </x:c>
      <x:c r="B12" s="39"/>
      <x:c r="C12" s="39" t="str">
        <x:v>Индивидуальная → общая → сплит-форма → ФСНБ → смета</x:v>
      </x:c>
      <x:c r="D12" s="39"/>
      <x:c r="E12" s="39"/>
      <x:c r="F12" s="39"/>
    </x:row>
    <x:row r="13" ht="30" customHeight="1">
      <x:c r="A13" s="39"/>
      <x:c r="B13" s="39"/>
      <x:c r="C13" s="39"/>
      <x:c r="D13" s="39"/>
      <x:c r="E13" s="39"/>
      <x:c r="F13" s="39"/>
    </x:row>
    <x:row r="14" ht="30" customHeight="1">
      <x:c r="A14" s="63" t="str">
        <x:v>Индивидуальные ставки рабочих и машинистов</x:v>
      </x:c>
      <x:c r="B14" s="39"/>
      <x:c r="C14" s="39"/>
      <x:c r="D14" s="39"/>
      <x:c r="E14" s="39"/>
      <x:c r="F14" s="39"/>
    </x:row>
    <x:row r="15" ht="48" customHeight="1">
      <x:c r="A15" s="97" t="str">
        <x:v>Тип</x:v>
      </x:c>
      <x:c r="B15" s="97" t="str">
        <x:v>Код</x:v>
      </x:c>
      <x:c r="C15" s="97" t="str">
        <x:v>Наименование</x:v>
      </x:c>
      <x:c r="D15" s="97" t="str">
        <x:v>Ед. изм.</x:v>
      </x:c>
      <x:c r="E15" s="97" t="str">
        <x:v>Своя ставка, руб./чел.-ч</x:v>
      </x:c>
      <x:c r="F15" s="97" t="str">
        <x:v>Автоматическая цена, руб./чел.-ч</x:v>
      </x:c>
    </x:row>
    <x:row r="16" ht="30" customHeight="1">
      <x:c r="A16" s="39" t="str">
        <x:v>Рабочие</x:v>
      </x:c>
      <x:c r="B16" s="39" t="str">
        <x:v>1-100-020</x:v>
      </x:c>
      <x:c r="C16" s="39" t="str">
        <x:v>Средний разряд работы 2,0</x:v>
      </x:c>
      <x:c r="D16" s="39" t="str">
        <x:v>чел.-ч</x:v>
      </x:c>
      <x:c r="E16" s="65"/>
      <x:c r="F16" s="66"/>
    </x:row>
    <x:row r="17" ht="30" customHeight="1">
      <x:c r="A17" s="39"/>
      <x:c r="B17" s="39"/>
      <x:c r="C17" s="39"/>
      <x:c r="D17" s="39"/>
      <x:c r="E17" s="39"/>
      <x:c r="F17" s="39"/>
    </x:row>
    <x:row r="18" ht="30" customHeight="1">
      <x:c r="A18" s="39"/>
      <x:c r="B18" s="39"/>
      <x:c r="C18" s="39"/>
      <x:c r="D18" s="39"/>
      <x:c r="E18" s="39"/>
      <x:c r="F18" s="39"/>
    </x:row>
    <x:row r="19" ht="30" customHeight="1">
      <x:c r="A19" s="39"/>
      <x:c r="B19" s="39"/>
      <x:c r="C19" s="39"/>
      <x:c r="D19" s="39"/>
      <x:c r="E19" s="39"/>
      <x:c r="F19" s="39"/>
    </x:row>
    <x:row r="20" ht="30" customHeight="1">
      <x:c r="A20" s="39"/>
      <x:c r="B20" s="39"/>
      <x:c r="C20" s="39"/>
      <x:c r="D20" s="39"/>
      <x:c r="E20" s="39"/>
      <x:c r="F20" s="39"/>
    </x:row>
    <x:row r="21" ht="30" customHeight="1">
      <x:c r="A21" s="39"/>
      <x:c r="B21" s="39"/>
      <x:c r="C21" s="39"/>
      <x:c r="D21" s="39"/>
      <x:c r="E21" s="39"/>
      <x:c r="F21" s="39"/>
    </x:row>
    <x:row r="22" ht="30" customHeight="1">
      <x:c r="A22" s="39"/>
      <x:c r="B22" s="39"/>
      <x:c r="C22" s="39"/>
      <x:c r="D22" s="39"/>
      <x:c r="E22" s="39"/>
      <x:c r="F22" s="39"/>
    </x:row>
  </x:sheetData>
  <x:dataValidations count="1">
    <x:dataValidation type="decimal" operator="greaterThanOrEqual" sqref="B5:B11">
      <x:formula1>0</x:formula1>
    </x:dataValidation>
  </x:dataValidations>
  <x:pageMargins left="0.7" right="0.7" top="0.75" bottom="0.75" header="0.3" footer="0.3"/>
</x:worksheet>
</file>